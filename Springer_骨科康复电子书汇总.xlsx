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电子书清单" sheetId="1" state="visible" r:id="rId3"/>
    <sheet name="统计汇总" sheetId="2" state="visible" r:id="rId4"/>
  </sheets>
  <definedNames>
    <definedName function="false" hidden="true" localSheetId="0" name="_xlnm._FilterDatabase" vbProcedure="false">电子书清单!$A$1:$T$110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<sst xmlns="http://schemas.openxmlformats.org/spreadsheetml/2006/main" count="1226" uniqueCount="650">
  <si>
    <t xml:space="preserve">序号</t>
  </si>
  <si>
    <t xml:space="preserve">书名</t>
  </si>
  <si>
    <r>
      <rPr>
        <b val="true"/>
        <sz val="11"/>
        <color rgb="FFFFFFFF"/>
        <rFont val="WenQuanYi Zen Hei"/>
        <family val="2"/>
      </rPr>
      <t xml:space="preserve">副标题</t>
    </r>
    <r>
      <rPr>
        <b val="true"/>
        <sz val="11"/>
        <color rgb="FFFFFFFF"/>
        <rFont val="Arial"/>
        <family val="0"/>
        <charset val="1"/>
      </rPr>
      <t xml:space="preserve">/</t>
    </r>
    <r>
      <rPr>
        <b val="true"/>
        <sz val="11"/>
        <color rgb="FFFFFFFF"/>
        <rFont val="WenQuanYi Zen Hei"/>
        <family val="2"/>
      </rPr>
      <t xml:space="preserve">版次</t>
    </r>
  </si>
  <si>
    <t xml:space="preserve">中文书名（译）</t>
  </si>
  <si>
    <t xml:space="preserve">类型</t>
  </si>
  <si>
    <t xml:space="preserve">出版年</t>
  </si>
  <si>
    <r>
      <rPr>
        <b val="true"/>
        <sz val="11"/>
        <color rgb="FFFFFFFF"/>
        <rFont val="WenQuanYi Zen Hei"/>
        <family val="2"/>
      </rPr>
      <t xml:space="preserve">作者</t>
    </r>
    <r>
      <rPr>
        <b val="true"/>
        <sz val="11"/>
        <color rgb="FFFFFFFF"/>
        <rFont val="Arial"/>
        <family val="0"/>
        <charset val="1"/>
      </rPr>
      <t xml:space="preserve">/</t>
    </r>
    <r>
      <rPr>
        <b val="true"/>
        <sz val="11"/>
        <color rgb="FFFFFFFF"/>
        <rFont val="WenQuanYi Zen Hei"/>
        <family val="2"/>
      </rPr>
      <t xml:space="preserve">编者</t>
    </r>
    <r>
      <rPr>
        <b val="true"/>
        <sz val="11"/>
        <color rgb="FFFFFFFF"/>
        <rFont val="Arial"/>
        <family val="0"/>
        <charset val="1"/>
      </rPr>
      <t xml:space="preserve">(</t>
    </r>
    <r>
      <rPr>
        <b val="true"/>
        <sz val="11"/>
        <color rgb="FFFFFFFF"/>
        <rFont val="WenQuanYi Zen Hei"/>
        <family val="2"/>
      </rPr>
      <t xml:space="preserve">检索页显示</t>
    </r>
    <r>
      <rPr>
        <b val="true"/>
        <sz val="11"/>
        <color rgb="FFFFFFFF"/>
        <rFont val="Arial"/>
        <family val="0"/>
        <charset val="1"/>
      </rPr>
      <t xml:space="preserve">)</t>
    </r>
  </si>
  <si>
    <t xml:space="preserve">所属丛书</t>
  </si>
  <si>
    <t xml:space="preserve">DOI / ISBN</t>
  </si>
  <si>
    <t xml:space="preserve">链接</t>
  </si>
  <si>
    <t xml:space="preserve">主题分类</t>
  </si>
  <si>
    <t xml:space="preserve">与骨科康复相关度</t>
  </si>
  <si>
    <t xml:space="preserve">是否有中译本</t>
  </si>
  <si>
    <r>
      <rPr>
        <b val="true"/>
        <sz val="11"/>
        <color rgb="FFFFFFFF"/>
        <rFont val="WenQuanYi Zen Hei"/>
        <family val="2"/>
      </rPr>
      <t xml:space="preserve">中译本信息 </t>
    </r>
    <r>
      <rPr>
        <b val="true"/>
        <sz val="11"/>
        <color rgb="FFFFFFFF"/>
        <rFont val="Arial"/>
        <family val="0"/>
        <charset val="1"/>
      </rPr>
      <t xml:space="preserve">/ </t>
    </r>
    <r>
      <rPr>
        <b val="true"/>
        <sz val="11"/>
        <color rgb="FFFFFFFF"/>
        <rFont val="WenQuanYi Zen Hei"/>
        <family val="2"/>
      </rPr>
      <t xml:space="preserve">备注</t>
    </r>
  </si>
  <si>
    <t xml:space="preserve">官网附加资源</t>
  </si>
  <si>
    <t xml:space="preserve">视频数</t>
  </si>
  <si>
    <t xml:space="preserve">其他补充文件数</t>
  </si>
  <si>
    <t xml:space="preserve">含附加资源的章节数</t>
  </si>
  <si>
    <t xml:space="preserve">已扫描章节数</t>
  </si>
  <si>
    <t xml:space="preserve">官网介绍中的相关描述</t>
  </si>
  <si>
    <t xml:space="preserve">Orthopedic Rehabilitation</t>
  </si>
  <si>
    <t xml:space="preserve">Principles and Practice</t>
  </si>
  <si>
    <t xml:space="preserve">骨科康复：原理与实践</t>
  </si>
  <si>
    <t xml:space="preserve">教科书</t>
  </si>
  <si>
    <t xml:space="preserve">10.1007/978-3-031-32026-2</t>
  </si>
  <si>
    <t xml:space="preserve">https://link.springer.com/book/10.1007/978-3-031-32026-2</t>
  </si>
  <si>
    <t xml:space="preserve">骨科康复总论</t>
  </si>
  <si>
    <t xml:space="preserve">高</t>
  </si>
  <si>
    <t xml:space="preserve">有中译本</t>
  </si>
  <si>
    <r>
      <rPr>
        <sz val="10"/>
        <rFont val="WenQuanYi Zen Hei"/>
        <family val="2"/>
      </rPr>
      <t xml:space="preserve">《骨科康复：理论与实践》，</t>
    </r>
    <r>
      <rPr>
        <sz val="10"/>
        <rFont val="Arial"/>
        <family val="0"/>
        <charset val="1"/>
      </rPr>
      <t xml:space="preserve">(</t>
    </r>
    <r>
      <rPr>
        <sz val="10"/>
        <rFont val="WenQuanYi Zen Hei"/>
        <family val="2"/>
      </rPr>
      <t xml:space="preserve">美</t>
    </r>
    <r>
      <rPr>
        <sz val="10"/>
        <rFont val="Arial"/>
        <family val="0"/>
        <charset val="1"/>
      </rPr>
      <t xml:space="preserve">)</t>
    </r>
    <r>
      <rPr>
        <sz val="10"/>
        <rFont val="WenQuanYi Zen Hei"/>
        <family val="2"/>
      </rPr>
      <t xml:space="preserve">托尼</t>
    </r>
    <r>
      <rPr>
        <sz val="10"/>
        <rFont val="Arial"/>
        <family val="0"/>
        <charset val="1"/>
      </rPr>
      <t xml:space="preserve">·K.</t>
    </r>
    <r>
      <rPr>
        <sz val="10"/>
        <rFont val="WenQuanYi Zen Hei"/>
        <family val="2"/>
      </rPr>
      <t xml:space="preserve">乔治、</t>
    </r>
    <r>
      <rPr>
        <sz val="10"/>
        <rFont val="Arial"/>
        <family val="0"/>
        <charset val="1"/>
      </rPr>
      <t xml:space="preserve">S.</t>
    </r>
    <r>
      <rPr>
        <sz val="10"/>
        <rFont val="WenQuanYi Zen Hei"/>
        <family val="2"/>
      </rPr>
      <t xml:space="preserve">阿里</t>
    </r>
    <r>
      <rPr>
        <sz val="10"/>
        <rFont val="Arial"/>
        <family val="0"/>
        <charset val="1"/>
      </rPr>
      <t xml:space="preserve">·</t>
    </r>
    <r>
      <rPr>
        <sz val="10"/>
        <rFont val="WenQuanYi Zen Hei"/>
        <family val="2"/>
      </rPr>
      <t xml:space="preserve">莫斯托菲、小阿尔弗雷德</t>
    </r>
    <r>
      <rPr>
        <sz val="10"/>
        <rFont val="Arial"/>
        <family val="0"/>
        <charset val="1"/>
      </rPr>
      <t xml:space="preserve">·J.</t>
    </r>
    <r>
      <rPr>
        <sz val="10"/>
        <rFont val="WenQuanYi Zen Hei"/>
        <family val="2"/>
      </rPr>
      <t xml:space="preserve">特里亚 主编，山东科学技术出版社 </t>
    </r>
    <r>
      <rPr>
        <sz val="10"/>
        <rFont val="Arial"/>
        <family val="0"/>
        <charset val="1"/>
      </rPr>
      <t xml:space="preserve">2026</t>
    </r>
    <r>
      <rPr>
        <sz val="10"/>
        <rFont val="WenQuanYi Zen Hei"/>
        <family val="2"/>
      </rPr>
      <t xml:space="preserve">，</t>
    </r>
    <r>
      <rPr>
        <sz val="10"/>
        <rFont val="Arial"/>
        <family val="0"/>
        <charset val="1"/>
      </rPr>
      <t xml:space="preserve">ISBN 978-7-5723-3259-3</t>
    </r>
    <r>
      <rPr>
        <sz val="10"/>
        <rFont val="WenQuanYi Zen Hei"/>
        <family val="2"/>
      </rPr>
      <t xml:space="preserve">（译者信息未查到）</t>
    </r>
  </si>
  <si>
    <t xml:space="preserve">未发现</t>
  </si>
  <si>
    <t xml:space="preserve">Rehabilitation for Nerve Transfers of the Upper Extremity</t>
  </si>
  <si>
    <t xml:space="preserve">A Clinical Manual</t>
  </si>
  <si>
    <t xml:space="preserve">上肢神经移位术后康复：临床手册</t>
  </si>
  <si>
    <t xml:space="preserve">图书</t>
  </si>
  <si>
    <t xml:space="preserve">10.1007/978-3-031-92008-0</t>
  </si>
  <si>
    <t xml:space="preserve">https://link.springer.com/book/10.1007/978-3-031-92008-0</t>
  </si>
  <si>
    <r>
      <rPr>
        <sz val="10"/>
        <rFont val="WenQuanYi Zen Hei"/>
        <family val="2"/>
      </rPr>
      <t xml:space="preserve">手</t>
    </r>
    <r>
      <rPr>
        <sz val="10"/>
        <rFont val="Arial"/>
        <family val="0"/>
        <charset val="1"/>
      </rPr>
      <t xml:space="preserve">/</t>
    </r>
    <r>
      <rPr>
        <sz val="10"/>
        <rFont val="WenQuanYi Zen Hei"/>
        <family val="2"/>
      </rPr>
      <t xml:space="preserve">上肢</t>
    </r>
  </si>
  <si>
    <t xml:space="preserve">未检索到中译本</t>
  </si>
  <si>
    <t xml:space="preserve">有视频</t>
  </si>
  <si>
    <t xml:space="preserve">Anterior Cruciate Ligament Injuries Throughout the Life Span</t>
  </si>
  <si>
    <t xml:space="preserve">全生命周期的前交叉韧带损伤</t>
  </si>
  <si>
    <t xml:space="preserve">10.1007/978-3-031-84501-7</t>
  </si>
  <si>
    <t xml:space="preserve">https://link.springer.com/book/10.1007/978-3-031-84501-7</t>
  </si>
  <si>
    <r>
      <rPr>
        <sz val="10"/>
        <rFont val="WenQuanYi Zen Hei"/>
        <family val="2"/>
      </rPr>
      <t xml:space="preserve">膝</t>
    </r>
    <r>
      <rPr>
        <sz val="10"/>
        <rFont val="Arial"/>
        <family val="0"/>
        <charset val="1"/>
      </rPr>
      <t xml:space="preserve">/ACL</t>
    </r>
  </si>
  <si>
    <t xml:space="preserve">中</t>
  </si>
  <si>
    <t xml:space="preserve">Video Atlas of Neuromusculoskeletal Ultrasound</t>
  </si>
  <si>
    <t xml:space="preserve">神经肌肉骨骼超声视频图谱</t>
  </si>
  <si>
    <t xml:space="preserve">10.1007/978-3-031-81037-4</t>
  </si>
  <si>
    <t xml:space="preserve">https://link.springer.com/book/10.1007/978-3-031-81037-4</t>
  </si>
  <si>
    <r>
      <rPr>
        <sz val="10"/>
        <rFont val="WenQuanYi Zen Hei"/>
        <family val="2"/>
      </rPr>
      <t xml:space="preserve">影像</t>
    </r>
    <r>
      <rPr>
        <sz val="10"/>
        <rFont val="Arial"/>
        <family val="0"/>
        <charset val="1"/>
      </rPr>
      <t xml:space="preserve">/</t>
    </r>
    <r>
      <rPr>
        <sz val="10"/>
        <rFont val="WenQuanYi Zen Hei"/>
        <family val="2"/>
      </rPr>
      <t xml:space="preserve">超声</t>
    </r>
  </si>
  <si>
    <t xml:space="preserve">低</t>
  </si>
  <si>
    <t xml:space="preserve">Video Atlas of Neuromusculoskeletal Ultrasound / Presents high quality videos and images of neuromusculoskeletal ultrasound / This video atlas is an essential resource for clinicians, residents, and students looking to integrate neuromusculoskeletal ultrasound into their practice. Featuring over 500 high-quality videos and images, this comprehensive guide offers a clear, step-by-step approach to normal anatomy, common path / Designed for practitioners in pain medicine, physical medicine and reha</t>
  </si>
  <si>
    <t xml:space="preserve">Telerehabilitation</t>
  </si>
  <si>
    <t xml:space="preserve">远程康复</t>
  </si>
  <si>
    <t xml:space="preserve">TELe-Health</t>
  </si>
  <si>
    <t xml:space="preserve">10.1007/978-3-031-69080-8</t>
  </si>
  <si>
    <t xml:space="preserve">https://link.springer.com/book/10.1007/978-3-031-69080-8</t>
  </si>
  <si>
    <r>
      <rPr>
        <sz val="10"/>
        <rFont val="WenQuanYi Zen Hei"/>
        <family val="2"/>
      </rPr>
      <t xml:space="preserve">康复技术</t>
    </r>
    <r>
      <rPr>
        <sz val="10"/>
        <rFont val="Arial"/>
        <family val="0"/>
        <charset val="1"/>
      </rPr>
      <t xml:space="preserve">/</t>
    </r>
    <r>
      <rPr>
        <sz val="10"/>
        <rFont val="WenQuanYi Zen Hei"/>
        <family val="2"/>
      </rPr>
      <t xml:space="preserve">远程康复</t>
    </r>
  </si>
  <si>
    <t xml:space="preserve">Textbook of Musculoskeletal Disorders</t>
  </si>
  <si>
    <t xml:space="preserve">肌肉骨骼疾病教程</t>
  </si>
  <si>
    <t xml:space="preserve">10.1007/978-3-031-20987-1</t>
  </si>
  <si>
    <t xml:space="preserve">https://link.springer.com/book/10.1007/978-3-031-20987-1</t>
  </si>
  <si>
    <t xml:space="preserve">Handbook of Esports Medicine</t>
  </si>
  <si>
    <t xml:space="preserve">Clinical Aspects of Competitive Video Gaming (2nd ed.)</t>
  </si>
  <si>
    <r>
      <rPr>
        <sz val="10"/>
        <rFont val="WenQuanYi Zen Hei"/>
        <family val="2"/>
      </rPr>
      <t xml:space="preserve">电子竞技医学手册：竞技电子游戏的临床问题（第</t>
    </r>
    <r>
      <rPr>
        <sz val="10"/>
        <rFont val="Arial"/>
        <family val="0"/>
        <charset val="1"/>
      </rPr>
      <t xml:space="preserve">2</t>
    </r>
    <r>
      <rPr>
        <sz val="10"/>
        <rFont val="WenQuanYi Zen Hei"/>
        <family val="2"/>
      </rPr>
      <t xml:space="preserve">版）</t>
    </r>
  </si>
  <si>
    <t xml:space="preserve">ISBN 9783032369543</t>
  </si>
  <si>
    <t xml:space="preserve">https://link.springer.com/book/9783032369543</t>
  </si>
  <si>
    <t xml:space="preserve">运动医学</t>
  </si>
  <si>
    <r>
      <rPr>
        <sz val="10"/>
        <rFont val="Arial"/>
        <family val="0"/>
        <charset val="1"/>
      </rPr>
      <t xml:space="preserve">2026 </t>
    </r>
    <r>
      <rPr>
        <sz val="10"/>
        <rFont val="WenQuanYi Zen Hei"/>
        <family val="2"/>
      </rPr>
      <t xml:space="preserve">年新版，尚未出版或刚出版</t>
    </r>
  </si>
  <si>
    <r>
      <rPr>
        <sz val="10"/>
        <rFont val="WenQuanYi Zen Hei"/>
        <family val="2"/>
      </rPr>
      <t xml:space="preserve">章节未上线</t>
    </r>
    <r>
      <rPr>
        <sz val="10"/>
        <rFont val="Arial"/>
        <family val="0"/>
        <charset val="1"/>
      </rPr>
      <t xml:space="preserve">/</t>
    </r>
    <r>
      <rPr>
        <sz val="10"/>
        <rFont val="WenQuanYi Zen Hei"/>
        <family val="2"/>
      </rPr>
      <t xml:space="preserve">无法核查</t>
    </r>
  </si>
  <si>
    <t xml:space="preserve">Clinical Aspects of Competitive Video Gaming / Focuses exclusively on the diagnosis and management of injuries and conditions affecting competitive video gamers / Timely and practical, the Handbook of Esports Medicine: Clinical Aspects of Competitive Video Gaming 2nd Edition continues to be an essential resource for sports medicine physicians, orthopedic specialists, rehabilitation experts, pediatricians, therapists, psychologists, and trainers engaged in esp / Clinical Aspects of Competitive Vi</t>
  </si>
  <si>
    <t xml:space="preserve">Knee Arthroscopy and Knee Preservation Surgery</t>
  </si>
  <si>
    <t xml:space="preserve">膝关节镜与保膝手术</t>
  </si>
  <si>
    <t xml:space="preserve">参考工具书</t>
  </si>
  <si>
    <t xml:space="preserve">10.1007/978-3-031-29430-3</t>
  </si>
  <si>
    <t xml:space="preserve">https://link.springer.com/book/10.1007/978-3-031-29430-3</t>
  </si>
  <si>
    <r>
      <rPr>
        <b val="true"/>
        <sz val="10"/>
        <rFont val="WenQuanYi Zen Hei"/>
        <family val="2"/>
      </rPr>
      <t xml:space="preserve">视频</t>
    </r>
    <r>
      <rPr>
        <b val="true"/>
        <sz val="10"/>
        <rFont val="Arial"/>
        <family val="0"/>
        <charset val="1"/>
      </rPr>
      <t xml:space="preserve">+</t>
    </r>
    <r>
      <rPr>
        <b val="true"/>
        <sz val="10"/>
        <rFont val="WenQuanYi Zen Hei"/>
        <family val="2"/>
      </rPr>
      <t xml:space="preserve">补充文件</t>
    </r>
  </si>
  <si>
    <t xml:space="preserve">Management and Rehabilitation of Spinal Cord Injuries</t>
  </si>
  <si>
    <t xml:space="preserve">(2nd ed.)</t>
  </si>
  <si>
    <r>
      <rPr>
        <sz val="10"/>
        <rFont val="WenQuanYi Zen Hei"/>
        <family val="2"/>
      </rPr>
      <t xml:space="preserve">脊髓损伤的管理与康复（第</t>
    </r>
    <r>
      <rPr>
        <sz val="10"/>
        <rFont val="Arial"/>
        <family val="0"/>
        <charset val="1"/>
      </rPr>
      <t xml:space="preserve">2</t>
    </r>
    <r>
      <rPr>
        <sz val="10"/>
        <rFont val="WenQuanYi Zen Hei"/>
        <family val="2"/>
      </rPr>
      <t xml:space="preserve">版）</t>
    </r>
  </si>
  <si>
    <t xml:space="preserve">Hyun-Yoon Ko</t>
  </si>
  <si>
    <t xml:space="preserve">10.1007/978-981-19-0228-4</t>
  </si>
  <si>
    <t xml:space="preserve">https://link.springer.com/book/10.1007/978-981-19-0228-4</t>
  </si>
  <si>
    <r>
      <rPr>
        <sz val="10"/>
        <rFont val="WenQuanYi Zen Hei"/>
        <family val="2"/>
      </rPr>
      <t xml:space="preserve">脊柱</t>
    </r>
    <r>
      <rPr>
        <sz val="10"/>
        <rFont val="Arial"/>
        <family val="0"/>
        <charset val="1"/>
      </rPr>
      <t xml:space="preserve">/</t>
    </r>
    <r>
      <rPr>
        <sz val="10"/>
        <rFont val="WenQuanYi Zen Hei"/>
        <family val="2"/>
      </rPr>
      <t xml:space="preserve">脊髓</t>
    </r>
  </si>
  <si>
    <r>
      <rPr>
        <sz val="10"/>
        <rFont val="WenQuanYi Zen Hei"/>
        <family val="2"/>
      </rPr>
      <t xml:space="preserve">施普林格</t>
    </r>
    <r>
      <rPr>
        <sz val="10"/>
        <rFont val="Arial"/>
        <family val="0"/>
        <charset val="1"/>
      </rPr>
      <t xml:space="preserve">·</t>
    </r>
    <r>
      <rPr>
        <sz val="10"/>
        <rFont val="WenQuanYi Zen Hei"/>
        <family val="2"/>
      </rPr>
      <t xml:space="preserve">自然 </t>
    </r>
    <r>
      <rPr>
        <sz val="10"/>
        <rFont val="Arial"/>
        <family val="0"/>
        <charset val="1"/>
      </rPr>
      <t xml:space="preserve">2023 </t>
    </r>
    <r>
      <rPr>
        <sz val="10"/>
        <rFont val="WenQuanYi Zen Hei"/>
        <family val="2"/>
      </rPr>
      <t xml:space="preserve">年中文版权推荐书目中列有《脊髓损伤治疗和康复》，未见正式出版</t>
    </r>
  </si>
  <si>
    <t xml:space="preserve">Multidisciplinary Spine Tumor Management</t>
  </si>
  <si>
    <t xml:space="preserve">A Modern Approach</t>
  </si>
  <si>
    <t xml:space="preserve">脊柱肿瘤的多学科管理：现代诊疗方法</t>
  </si>
  <si>
    <t xml:space="preserve">10.1007/978-3-032-07519-2</t>
  </si>
  <si>
    <t xml:space="preserve">https://link.springer.com/book/10.1007/978-3-032-07519-2</t>
  </si>
  <si>
    <t xml:space="preserve">Medical Robot Technology</t>
  </si>
  <si>
    <t xml:space="preserve">医疗机器人技术</t>
  </si>
  <si>
    <t xml:space="preserve">Jingang Jiang, Dianhao Wu, ... Xuesong Dai</t>
  </si>
  <si>
    <t xml:space="preserve">Advanced and Intelligent Manufacturing in China</t>
  </si>
  <si>
    <t xml:space="preserve">10.1007/978-981-97-1484-1</t>
  </si>
  <si>
    <t xml:space="preserve">https://link.springer.com/book/10.1007/978-981-97-1484-1</t>
  </si>
  <si>
    <t xml:space="preserve">英文原著，作者为哈尔滨理工大学姜金刚等</t>
  </si>
  <si>
    <t xml:space="preserve">Advances in Total Hip Arthroplasty</t>
  </si>
  <si>
    <t xml:space="preserve">全髋关节置换术进展</t>
  </si>
  <si>
    <t xml:space="preserve">10.1007/978-981-97-2461-1</t>
  </si>
  <si>
    <t xml:space="preserve">https://link.springer.com/book/10.1007/978-981-97-2461-1</t>
  </si>
  <si>
    <t xml:space="preserve">关节置换</t>
  </si>
  <si>
    <t xml:space="preserve">本书为日文原著《人工股関節置換術の進展》（中島康晴 主编）的英文版</t>
  </si>
  <si>
    <t xml:space="preserve">One-Stage Septic Revision Arthroplasty</t>
  </si>
  <si>
    <t xml:space="preserve">Principles and Management</t>
  </si>
  <si>
    <t xml:space="preserve">感染性关节置换一期翻修术：原则与处理</t>
  </si>
  <si>
    <t xml:space="preserve">10.1007/978-3-031-59160-0</t>
  </si>
  <si>
    <t xml:space="preserve">https://link.springer.com/book/10.1007/978-3-031-59160-0</t>
  </si>
  <si>
    <t xml:space="preserve">Contemporary and Global Perspectives in Physical Therapy</t>
  </si>
  <si>
    <t xml:space="preserve">物理治疗的当代与全球视角</t>
  </si>
  <si>
    <t xml:space="preserve">10.1007/978-3-031-86558-9</t>
  </si>
  <si>
    <t xml:space="preserve">https://link.springer.com/book/10.1007/978-3-031-86558-9</t>
  </si>
  <si>
    <t xml:space="preserve">Critical Rehabilitation for Partial and Total Knee Arthroplasty</t>
  </si>
  <si>
    <t xml:space="preserve">Guidelines and Objective Testing to Allow Return to Physical Function, Recreational and Sports Activities</t>
  </si>
  <si>
    <t xml:space="preserve">单髁及全膝关节置换术后关键康复：恢复身体功能、休闲及体育活动的指南与客观测试</t>
  </si>
  <si>
    <t xml:space="preserve">10.1007/978-3-030-87003-4</t>
  </si>
  <si>
    <t xml:space="preserve">https://link.springer.com/book/10.1007/978-3-030-87003-4</t>
  </si>
  <si>
    <r>
      <rPr>
        <sz val="10"/>
        <rFont val="WenQuanYi Zen Hei"/>
        <family val="2"/>
      </rPr>
      <t xml:space="preserve">《单髁与全膝关节置换术关键康复》，</t>
    </r>
    <r>
      <rPr>
        <sz val="10"/>
        <rFont val="Arial"/>
        <family val="0"/>
        <charset val="1"/>
      </rPr>
      <t xml:space="preserve">(</t>
    </r>
    <r>
      <rPr>
        <sz val="10"/>
        <rFont val="WenQuanYi Zen Hei"/>
        <family val="2"/>
      </rPr>
      <t xml:space="preserve">美</t>
    </r>
    <r>
      <rPr>
        <sz val="10"/>
        <rFont val="Arial"/>
        <family val="0"/>
        <charset val="1"/>
      </rPr>
      <t xml:space="preserve">)</t>
    </r>
    <r>
      <rPr>
        <sz val="10"/>
        <rFont val="WenQuanYi Zen Hei"/>
        <family val="2"/>
      </rPr>
      <t xml:space="preserve">弗兰克</t>
    </r>
    <r>
      <rPr>
        <sz val="10"/>
        <rFont val="Arial"/>
        <family val="0"/>
        <charset val="1"/>
      </rPr>
      <t xml:space="preserve">·R.</t>
    </r>
    <r>
      <rPr>
        <sz val="10"/>
        <rFont val="WenQuanYi Zen Hei"/>
        <family val="2"/>
      </rPr>
      <t xml:space="preserve">诺伊斯、苏</t>
    </r>
    <r>
      <rPr>
        <sz val="10"/>
        <rFont val="Arial"/>
        <family val="0"/>
        <charset val="1"/>
      </rPr>
      <t xml:space="preserve">·</t>
    </r>
    <r>
      <rPr>
        <sz val="10"/>
        <rFont val="WenQuanYi Zen Hei"/>
        <family val="2"/>
      </rPr>
      <t xml:space="preserve">巴伯</t>
    </r>
    <r>
      <rPr>
        <sz val="10"/>
        <rFont val="Arial"/>
        <family val="0"/>
        <charset val="1"/>
      </rPr>
      <t xml:space="preserve">-</t>
    </r>
    <r>
      <rPr>
        <sz val="10"/>
        <rFont val="WenQuanYi Zen Hei"/>
        <family val="2"/>
      </rPr>
      <t xml:space="preserve">威斯汀 编，许鹏、李辉 主译，辽宁科学技术出版社 </t>
    </r>
    <r>
      <rPr>
        <sz val="10"/>
        <rFont val="Arial"/>
        <family val="0"/>
        <charset val="1"/>
      </rPr>
      <t xml:space="preserve">2023-06</t>
    </r>
    <r>
      <rPr>
        <sz val="10"/>
        <rFont val="WenQuanYi Zen Hei"/>
        <family val="2"/>
      </rPr>
      <t xml:space="preserve">，</t>
    </r>
    <r>
      <rPr>
        <sz val="10"/>
        <rFont val="Arial"/>
        <family val="0"/>
        <charset val="1"/>
      </rPr>
      <t xml:space="preserve">ISBN 978-7-5591-2941-3</t>
    </r>
  </si>
  <si>
    <t xml:space="preserve">Low Back Ache</t>
  </si>
  <si>
    <t xml:space="preserve">A comprehensive guide to management</t>
  </si>
  <si>
    <t xml:space="preserve">腰痛：综合管理指南</t>
  </si>
  <si>
    <t xml:space="preserve">ISBN 9789819738762</t>
  </si>
  <si>
    <t xml:space="preserve">https://link.springer.com/book/9789819738762</t>
  </si>
  <si>
    <r>
      <rPr>
        <sz val="10"/>
        <rFont val="WenQuanYi Zen Hei"/>
        <family val="2"/>
      </rPr>
      <t xml:space="preserve">脊柱</t>
    </r>
    <r>
      <rPr>
        <sz val="10"/>
        <rFont val="Arial"/>
        <family val="0"/>
        <charset val="1"/>
      </rPr>
      <t xml:space="preserve">/</t>
    </r>
    <r>
      <rPr>
        <sz val="10"/>
        <rFont val="WenQuanYi Zen Hei"/>
        <family val="2"/>
      </rPr>
      <t xml:space="preserve">腰痛</t>
    </r>
  </si>
  <si>
    <r>
      <rPr>
        <sz val="10"/>
        <rFont val="WenQuanYi Zen Hei"/>
        <family val="2"/>
      </rPr>
      <t xml:space="preserve">预计 </t>
    </r>
    <r>
      <rPr>
        <sz val="10"/>
        <rFont val="Arial"/>
        <family val="0"/>
        <charset val="1"/>
      </rPr>
      <t xml:space="preserve">2027 </t>
    </r>
    <r>
      <rPr>
        <sz val="10"/>
        <rFont val="WenQuanYi Zen Hei"/>
        <family val="2"/>
      </rPr>
      <t xml:space="preserve">年出版</t>
    </r>
  </si>
  <si>
    <t xml:space="preserve">Arthroscopy and Endoscopy of the Shoulder</t>
  </si>
  <si>
    <t xml:space="preserve">Principle and Practice</t>
  </si>
  <si>
    <t xml:space="preserve">肩关节镜与内镜技术：原理与实践</t>
  </si>
  <si>
    <t xml:space="preserve">10.1007/978-981-19-7884-5</t>
  </si>
  <si>
    <t xml:space="preserve">https://link.springer.com/book/10.1007/978-981-19-7884-5</t>
  </si>
  <si>
    <r>
      <rPr>
        <sz val="10"/>
        <rFont val="WenQuanYi Zen Hei"/>
        <family val="2"/>
      </rPr>
      <t xml:space="preserve">肩</t>
    </r>
    <r>
      <rPr>
        <sz val="10"/>
        <rFont val="Arial"/>
        <family val="0"/>
        <charset val="1"/>
      </rPr>
      <t xml:space="preserve">/</t>
    </r>
    <r>
      <rPr>
        <sz val="10"/>
        <rFont val="WenQuanYi Zen Hei"/>
        <family val="2"/>
      </rPr>
      <t xml:space="preserve">肘</t>
    </r>
  </si>
  <si>
    <r>
      <rPr>
        <sz val="10"/>
        <rFont val="WenQuanYi Zen Hei"/>
        <family val="2"/>
      </rPr>
      <t xml:space="preserve">英文原著，编者为香港吕敦兴（</t>
    </r>
    <r>
      <rPr>
        <sz val="10"/>
        <rFont val="Arial"/>
        <family val="0"/>
        <charset val="1"/>
      </rPr>
      <t xml:space="preserve">Tun Hing Lui</t>
    </r>
    <r>
      <rPr>
        <sz val="10"/>
        <rFont val="WenQuanYi Zen Hei"/>
        <family val="2"/>
      </rPr>
      <t xml:space="preserve">）</t>
    </r>
  </si>
  <si>
    <t xml:space="preserve">Endoscopy of the Spine</t>
  </si>
  <si>
    <t xml:space="preserve">脊柱内镜技术：原理与实践</t>
  </si>
  <si>
    <t xml:space="preserve">10.1007/978-981-19-7761-9</t>
  </si>
  <si>
    <t xml:space="preserve">https://link.springer.com/book/10.1007/978-981-19-7761-9</t>
  </si>
  <si>
    <t xml:space="preserve">腰痛：综合管理指南（在线持续更新版）</t>
  </si>
  <si>
    <t xml:space="preserve">在线持续更新参考书</t>
  </si>
  <si>
    <t xml:space="preserve">10.1007/978-981-97-4087-1</t>
  </si>
  <si>
    <t xml:space="preserve">https://link.springer.com/book/10.1007/978-981-97-4087-1</t>
  </si>
  <si>
    <t xml:space="preserve">The Achilles Tendon</t>
  </si>
  <si>
    <t xml:space="preserve">Pathology, Treatment and Rehabilitation</t>
  </si>
  <si>
    <t xml:space="preserve">跟腱：病理、治疗与康复</t>
  </si>
  <si>
    <t xml:space="preserve">10.1007/978-3-031-45594-0</t>
  </si>
  <si>
    <t xml:space="preserve">https://link.springer.com/book/10.1007/978-3-031-45594-0</t>
  </si>
  <si>
    <r>
      <rPr>
        <sz val="10"/>
        <rFont val="WenQuanYi Zen Hei"/>
        <family val="2"/>
      </rPr>
      <t xml:space="preserve">足</t>
    </r>
    <r>
      <rPr>
        <sz val="10"/>
        <rFont val="Arial"/>
        <family val="0"/>
        <charset val="1"/>
      </rPr>
      <t xml:space="preserve">/</t>
    </r>
    <r>
      <rPr>
        <sz val="10"/>
        <rFont val="WenQuanYi Zen Hei"/>
        <family val="2"/>
      </rPr>
      <t xml:space="preserve">踝</t>
    </r>
  </si>
  <si>
    <t xml:space="preserve">Low Back Pain and Sciatica</t>
  </si>
  <si>
    <t xml:space="preserve">A New Pathogenetic Model and Treatment Principles</t>
  </si>
  <si>
    <t xml:space="preserve">腰痛与坐骨神经痛：新的发病机制模型与治疗原则</t>
  </si>
  <si>
    <t xml:space="preserve">Luigi Tesio</t>
  </si>
  <si>
    <t xml:space="preserve">10.1007/978-3-031-78534-4</t>
  </si>
  <si>
    <t xml:space="preserve">https://link.springer.com/book/10.1007/978-3-031-78534-4</t>
  </si>
  <si>
    <t xml:space="preserve">Percutaneous and Minimally Invasive Foot Surgery</t>
  </si>
  <si>
    <t xml:space="preserve">经皮及微创足部手术</t>
  </si>
  <si>
    <t xml:space="preserve">10.1007/978-3-030-98791-6</t>
  </si>
  <si>
    <t xml:space="preserve">https://link.springer.com/book/10.1007/978-3-030-98791-6</t>
  </si>
  <si>
    <t xml:space="preserve">Textbook of Veterinary Orthopaedic Surgery</t>
  </si>
  <si>
    <t xml:space="preserve">兽医骨科手术学教程</t>
  </si>
  <si>
    <t xml:space="preserve">Hari Prasad Aithal, Amar Pal, ... Abhijit M Pawde</t>
  </si>
  <si>
    <t xml:space="preserve">10.1007/978-981-99-2575-9</t>
  </si>
  <si>
    <t xml:space="preserve">https://link.springer.com/book/10.1007/978-981-99-2575-9</t>
  </si>
  <si>
    <t xml:space="preserve">其他</t>
  </si>
  <si>
    <t xml:space="preserve">Rehabilitation After Limb Salvage Surgery</t>
  </si>
  <si>
    <t xml:space="preserve">保肢术后康复</t>
  </si>
  <si>
    <t xml:space="preserve">10.1007/978-3-030-66352-0</t>
  </si>
  <si>
    <t xml:space="preserve">https://link.springer.com/book/10.1007/978-3-030-66352-0</t>
  </si>
  <si>
    <r>
      <rPr>
        <sz val="10"/>
        <rFont val="WenQuanYi Zen Hei"/>
        <family val="2"/>
      </rPr>
      <t xml:space="preserve">骨肿瘤</t>
    </r>
    <r>
      <rPr>
        <sz val="10"/>
        <rFont val="Arial"/>
        <family val="0"/>
        <charset val="1"/>
      </rPr>
      <t xml:space="preserve">/</t>
    </r>
    <r>
      <rPr>
        <sz val="10"/>
        <rFont val="WenQuanYi Zen Hei"/>
        <family val="2"/>
      </rPr>
      <t xml:space="preserve">截肢</t>
    </r>
  </si>
  <si>
    <t xml:space="preserve">Ligamentous Injuries of the Foot and Ankle</t>
  </si>
  <si>
    <t xml:space="preserve">Diagnosis, Management and Rehabilitation</t>
  </si>
  <si>
    <t xml:space="preserve">足踝韧带损伤：诊断、治疗与康复</t>
  </si>
  <si>
    <t xml:space="preserve">10.1007/978-3-031-08682-3</t>
  </si>
  <si>
    <t xml:space="preserve">https://link.springer.com/book/10.1007/978-3-031-08682-3</t>
  </si>
  <si>
    <r>
      <rPr>
        <sz val="10"/>
        <rFont val="WenQuanYi Zen Hei"/>
        <family val="2"/>
      </rPr>
      <t xml:space="preserve">《足踝韧带损伤：诊断、治疗和康复》，</t>
    </r>
    <r>
      <rPr>
        <sz val="10"/>
        <rFont val="Arial"/>
        <family val="0"/>
        <charset val="1"/>
      </rPr>
      <t xml:space="preserve">(</t>
    </r>
    <r>
      <rPr>
        <sz val="10"/>
        <rFont val="WenQuanYi Zen Hei"/>
        <family val="2"/>
      </rPr>
      <t xml:space="preserve">卡塔尔</t>
    </r>
    <r>
      <rPr>
        <sz val="10"/>
        <rFont val="Arial"/>
        <family val="0"/>
        <charset val="1"/>
      </rPr>
      <t xml:space="preserve">)</t>
    </r>
    <r>
      <rPr>
        <sz val="10"/>
        <rFont val="WenQuanYi Zen Hei"/>
        <family val="2"/>
      </rPr>
      <t xml:space="preserve">彼得</t>
    </r>
    <r>
      <rPr>
        <sz val="10"/>
        <rFont val="Arial"/>
        <family val="0"/>
        <charset val="1"/>
      </rPr>
      <t xml:space="preserve">·</t>
    </r>
    <r>
      <rPr>
        <sz val="10"/>
        <rFont val="WenQuanYi Zen Hei"/>
        <family val="2"/>
      </rPr>
      <t xml:space="preserve">德</t>
    </r>
    <r>
      <rPr>
        <sz val="10"/>
        <rFont val="Arial"/>
        <family val="0"/>
        <charset val="1"/>
      </rPr>
      <t xml:space="preserve">·</t>
    </r>
    <r>
      <rPr>
        <sz val="10"/>
        <rFont val="WenQuanYi Zen Hei"/>
        <family val="2"/>
      </rPr>
      <t xml:space="preserve">霍赫等 主编，扈克治、范新宇、程建文 主译，天津科技翻译出版有限公司 </t>
    </r>
    <r>
      <rPr>
        <sz val="10"/>
        <rFont val="Arial"/>
        <family val="0"/>
        <charset val="1"/>
      </rPr>
      <t xml:space="preserve">2025</t>
    </r>
    <r>
      <rPr>
        <sz val="10"/>
        <rFont val="WenQuanYi Zen Hei"/>
        <family val="2"/>
      </rPr>
      <t xml:space="preserve">，</t>
    </r>
    <r>
      <rPr>
        <sz val="10"/>
        <rFont val="Arial"/>
        <family val="0"/>
        <charset val="1"/>
      </rPr>
      <t xml:space="preserve">ISBN 978-7-5433-4597-3</t>
    </r>
  </si>
  <si>
    <t xml:space="preserve">Chapters include key points, generous figures and surgical technique illustrations, and selected video segments / Opening with a review of the relevant anatomy and biomechanics of the foot and ankle, as well as current imaging techniques, the text then turns to the diagnosis, management and rehabilitation of specific ligamentous injuries and conditions. Multiple management techniques are presented for lateral a</t>
  </si>
  <si>
    <t xml:space="preserve">Orthopedics for Physician Assistant and Nurse Practitioner Students</t>
  </si>
  <si>
    <t xml:space="preserve">An Introductory Guide</t>
  </si>
  <si>
    <t xml:space="preserve">医师助理与执业护士学生骨科学：入门指南</t>
  </si>
  <si>
    <t xml:space="preserve">John A. Gracy</t>
  </si>
  <si>
    <t xml:space="preserve">10.1007/978-3-031-04406-9</t>
  </si>
  <si>
    <t xml:space="preserve">https://link.springer.com/book/10.1007/978-3-031-04406-9</t>
  </si>
  <si>
    <t xml:space="preserve">Pediatric and Adult Hand Fractures</t>
  </si>
  <si>
    <t xml:space="preserve">A Clinical Guide to Management</t>
  </si>
  <si>
    <t xml:space="preserve">儿童与成人手部骨折：临床处理指南</t>
  </si>
  <si>
    <t xml:space="preserve">10.1007/978-3-031-32072-9</t>
  </si>
  <si>
    <t xml:space="preserve">https://link.springer.com/book/10.1007/978-3-031-32072-9</t>
  </si>
  <si>
    <t xml:space="preserve">膝关节镜与保膝手术（在线持续更新版）</t>
  </si>
  <si>
    <t xml:space="preserve">10.1007/978-3-030-82869-1</t>
  </si>
  <si>
    <t xml:space="preserve">https://link.springer.com/book/10.1007/978-3-030-82869-1</t>
  </si>
  <si>
    <t xml:space="preserve">Spondylolisthesis</t>
  </si>
  <si>
    <t xml:space="preserve">Diagnosis, Non-Surgical Management, and Surgical Techniques (2nd ed.)</t>
  </si>
  <si>
    <r>
      <rPr>
        <sz val="10"/>
        <rFont val="WenQuanYi Zen Hei"/>
        <family val="2"/>
      </rPr>
      <t xml:space="preserve">脊椎滑脱：诊断、非手术治疗与手术技术（第</t>
    </r>
    <r>
      <rPr>
        <sz val="10"/>
        <rFont val="Arial"/>
        <family val="0"/>
        <charset val="1"/>
      </rPr>
      <t xml:space="preserve">2</t>
    </r>
    <r>
      <rPr>
        <sz val="10"/>
        <rFont val="WenQuanYi Zen Hei"/>
        <family val="2"/>
      </rPr>
      <t xml:space="preserve">版）</t>
    </r>
  </si>
  <si>
    <t xml:space="preserve">10.1007/978-3-031-27253-0</t>
  </si>
  <si>
    <t xml:space="preserve">https://link.springer.com/book/10.1007/978-3-031-27253-0</t>
  </si>
  <si>
    <t xml:space="preserve">未检索到中译本（本版）</t>
  </si>
  <si>
    <r>
      <rPr>
        <sz val="10"/>
        <rFont val="WenQuanYi Zen Hei"/>
        <family val="2"/>
      </rPr>
      <t xml:space="preserve">第</t>
    </r>
    <r>
      <rPr>
        <sz val="10"/>
        <rFont val="Arial"/>
        <family val="0"/>
        <charset val="1"/>
      </rPr>
      <t xml:space="preserve">2</t>
    </r>
    <r>
      <rPr>
        <sz val="10"/>
        <rFont val="WenQuanYi Zen Hei"/>
        <family val="2"/>
      </rPr>
      <t xml:space="preserve">版未见中译；第</t>
    </r>
    <r>
      <rPr>
        <sz val="10"/>
        <rFont val="Arial"/>
        <family val="0"/>
        <charset val="1"/>
      </rPr>
      <t xml:space="preserve">1</t>
    </r>
    <r>
      <rPr>
        <sz val="10"/>
        <rFont val="WenQuanYi Zen Hei"/>
        <family val="2"/>
      </rPr>
      <t xml:space="preserve">版（表中第</t>
    </r>
    <r>
      <rPr>
        <sz val="10"/>
        <rFont val="Arial"/>
        <family val="0"/>
        <charset val="1"/>
      </rPr>
      <t xml:space="preserve">87</t>
    </r>
    <r>
      <rPr>
        <sz val="10"/>
        <rFont val="WenQuanYi Zen Hei"/>
        <family val="2"/>
      </rPr>
      <t xml:space="preserve">本）有中译本《脊柱滑脱：诊断与治疗》，人民卫生出版社 </t>
    </r>
    <r>
      <rPr>
        <sz val="10"/>
        <rFont val="Arial"/>
        <family val="0"/>
        <charset val="1"/>
      </rPr>
      <t xml:space="preserve">2019</t>
    </r>
  </si>
  <si>
    <t xml:space="preserve">Atlas of Finger Reconstruction</t>
  </si>
  <si>
    <t xml:space="preserve">Techniques and Cases</t>
  </si>
  <si>
    <t xml:space="preserve">手指再造图谱：技术与病例</t>
  </si>
  <si>
    <t xml:space="preserve">Jian Lin, Jianli Wang, ... Tianhao Zhang</t>
  </si>
  <si>
    <t xml:space="preserve">10.1007/978-981-19-9612-2</t>
  </si>
  <si>
    <t xml:space="preserve">https://link.springer.com/book/10.1007/978-981-19-9612-2</t>
  </si>
  <si>
    <t xml:space="preserve">英文原著，作者为林建等（上海交通大学医学院附属新华医院崇明分院）</t>
  </si>
  <si>
    <t xml:space="preserve">Neurosurgery for Spasticity</t>
  </si>
  <si>
    <t xml:space="preserve">A Practical Guide for Treating Children and Adults (2nd ed.)</t>
  </si>
  <si>
    <r>
      <rPr>
        <sz val="10"/>
        <rFont val="WenQuanYi Zen Hei"/>
        <family val="2"/>
      </rPr>
      <t xml:space="preserve">痉挛的神经外科治疗：儿童与成人实用指南（第</t>
    </r>
    <r>
      <rPr>
        <sz val="10"/>
        <rFont val="Arial"/>
        <family val="0"/>
        <charset val="1"/>
      </rPr>
      <t xml:space="preserve">2</t>
    </r>
    <r>
      <rPr>
        <sz val="10"/>
        <rFont val="WenQuanYi Zen Hei"/>
        <family val="2"/>
      </rPr>
      <t xml:space="preserve">版）</t>
    </r>
  </si>
  <si>
    <t xml:space="preserve">Marc Sindou, Manon Duraffourg, George Georgoulis</t>
  </si>
  <si>
    <t xml:space="preserve">10.1007/978-3-030-92717-2</t>
  </si>
  <si>
    <t xml:space="preserve">https://link.springer.com/book/10.1007/978-3-030-92717-2</t>
  </si>
  <si>
    <r>
      <rPr>
        <sz val="10"/>
        <rFont val="WenQuanYi Zen Hei"/>
        <family val="2"/>
      </rPr>
      <t xml:space="preserve">神经</t>
    </r>
    <r>
      <rPr>
        <sz val="10"/>
        <rFont val="Arial"/>
        <family val="0"/>
        <charset val="1"/>
      </rPr>
      <t xml:space="preserve">/</t>
    </r>
    <r>
      <rPr>
        <sz val="10"/>
        <rFont val="WenQuanYi Zen Hei"/>
        <family val="2"/>
      </rPr>
      <t xml:space="preserve">痉挛</t>
    </r>
  </si>
  <si>
    <t xml:space="preserve">Fundamentals of the Shoulder</t>
  </si>
  <si>
    <t xml:space="preserve">肩关节基础</t>
  </si>
  <si>
    <t xml:space="preserve">10.1007/978-3-030-94702-6</t>
  </si>
  <si>
    <t xml:space="preserve">https://link.springer.com/book/10.1007/978-3-030-94702-6</t>
  </si>
  <si>
    <t xml:space="preserve">Dr. Alberto Grassi Consultant Orthopedic Surgeon working in the field of Sports Traumatology and Joint Surgery (reconstructive and prosthetic) of knee and foot &amp; ankle. He carries out his assistance activity at the II Orthopedic and Traumatology Clinic of the Rizzoli Orthopedic Institute - Bologna. </t>
  </si>
  <si>
    <t xml:space="preserve">Rarer Arthropathies</t>
  </si>
  <si>
    <t xml:space="preserve">少见关节病</t>
  </si>
  <si>
    <t xml:space="preserve">Rare Diseases of the Immune System</t>
  </si>
  <si>
    <t xml:space="preserve">10.1007/978-3-031-05002-2</t>
  </si>
  <si>
    <t xml:space="preserve">https://link.springer.com/book/10.1007/978-3-031-05002-2</t>
  </si>
  <si>
    <r>
      <rPr>
        <sz val="10"/>
        <rFont val="WenQuanYi Zen Hei"/>
        <family val="2"/>
      </rPr>
      <t xml:space="preserve">风湿</t>
    </r>
    <r>
      <rPr>
        <sz val="10"/>
        <rFont val="Arial"/>
        <family val="0"/>
        <charset val="1"/>
      </rPr>
      <t xml:space="preserve">/</t>
    </r>
    <r>
      <rPr>
        <sz val="10"/>
        <rFont val="WenQuanYi Zen Hei"/>
        <family val="2"/>
      </rPr>
      <t xml:space="preserve">血友病</t>
    </r>
  </si>
  <si>
    <t xml:space="preserve">Advances in Hemophilia Treatment</t>
  </si>
  <si>
    <t xml:space="preserve">From Genetics to Joint Health</t>
  </si>
  <si>
    <t xml:space="preserve">血友病治疗进展：从遗传学到关节健康</t>
  </si>
  <si>
    <t xml:space="preserve">10.1007/978-3-030-93990-8</t>
  </si>
  <si>
    <t xml:space="preserve">https://link.springer.com/book/10.1007/978-3-030-93990-8</t>
  </si>
  <si>
    <t xml:space="preserve">Orthopedic Care of Patients with Cerebral Palsy</t>
  </si>
  <si>
    <t xml:space="preserve">A Clinical Guide to Evaluation and Management across the Lifespan</t>
  </si>
  <si>
    <t xml:space="preserve">脑性瘫痪患者的骨科诊疗：全生命周期评估与管理临床指南</t>
  </si>
  <si>
    <t xml:space="preserve">10.1007/978-3-030-46574-2</t>
  </si>
  <si>
    <t xml:space="preserve">https://link.springer.com/book/10.1007/978-3-030-46574-2</t>
  </si>
  <si>
    <t xml:space="preserve">儿科</t>
  </si>
  <si>
    <t xml:space="preserve">Endoscopy of the Hip and Knee</t>
  </si>
  <si>
    <t xml:space="preserve">髋膝关节内镜技术：原理与实践</t>
  </si>
  <si>
    <t xml:space="preserve">10.1007/978-981-16-3488-8</t>
  </si>
  <si>
    <t xml:space="preserve">https://link.springer.com/book/10.1007/978-981-16-3488-8</t>
  </si>
  <si>
    <t xml:space="preserve">髋</t>
  </si>
  <si>
    <t xml:space="preserve">Geriatric Hip Fractures</t>
  </si>
  <si>
    <t xml:space="preserve">A Practical Approach</t>
  </si>
  <si>
    <t xml:space="preserve">老年髋部骨折：实用诊疗方法</t>
  </si>
  <si>
    <t xml:space="preserve">10.1007/978-3-030-78969-5</t>
  </si>
  <si>
    <t xml:space="preserve">https://link.springer.com/book/10.1007/978-3-030-78969-5</t>
  </si>
  <si>
    <r>
      <rPr>
        <sz val="10"/>
        <rFont val="WenQuanYi Zen Hei"/>
        <family val="2"/>
      </rPr>
      <t xml:space="preserve">创伤</t>
    </r>
    <r>
      <rPr>
        <sz val="10"/>
        <rFont val="Arial"/>
        <family val="0"/>
        <charset val="1"/>
      </rPr>
      <t xml:space="preserve">/</t>
    </r>
    <r>
      <rPr>
        <sz val="10"/>
        <rFont val="WenQuanYi Zen Hei"/>
        <family val="2"/>
      </rPr>
      <t xml:space="preserve">骨折</t>
    </r>
  </si>
  <si>
    <t xml:space="preserve">Includes video supplements demonstrating common surgical techniques / This text is the first to do so by organizing and synthesizing a large body of literature. Its main themes include pre-operative, operative, and post-operative care of the patient who sustains a geriatric hip fracture. Its main objective is to organize the current body of literature into a cohesive </t>
  </si>
  <si>
    <t xml:space="preserve">The Failed Rotator Cuff</t>
  </si>
  <si>
    <t xml:space="preserve">Diagnosis and Management</t>
  </si>
  <si>
    <t xml:space="preserve">肩袖修复失败：诊断与处理</t>
  </si>
  <si>
    <t xml:space="preserve">10.1007/978-3-030-79481-1</t>
  </si>
  <si>
    <t xml:space="preserve">https://link.springer.com/book/10.1007/978-3-030-79481-1</t>
  </si>
  <si>
    <t xml:space="preserve">Features surgical chapters accompanied by a short, surgical “how to” video, adding value to both print and online versions of this book</t>
  </si>
  <si>
    <t xml:space="preserve">Return-to-Play after Lower Limb Muscle Injury in Football</t>
  </si>
  <si>
    <t xml:space="preserve">The Italian Consensus Conference Guidelines</t>
  </si>
  <si>
    <t xml:space="preserve">足球运动下肢肌肉损伤后重返赛场：意大利共识会议指南</t>
  </si>
  <si>
    <t xml:space="preserve">Gian Nicola Bisciotti, Alessandro Corsini, Piero Volpi</t>
  </si>
  <si>
    <t xml:space="preserve">10.1007/978-3-030-84950-4</t>
  </si>
  <si>
    <t xml:space="preserve">https://link.springer.com/book/10.1007/978-3-030-84950-4</t>
  </si>
  <si>
    <t xml:space="preserve">Bionic Limb Reconstruction</t>
  </si>
  <si>
    <t xml:space="preserve">仿生肢体重建</t>
  </si>
  <si>
    <t xml:space="preserve">10.1007/978-3-030-60746-3</t>
  </si>
  <si>
    <t xml:space="preserve">https://link.springer.com/book/10.1007/978-3-030-60746-3</t>
  </si>
  <si>
    <t xml:space="preserve">Elbow Ulnar Collateral Ligament Injury</t>
  </si>
  <si>
    <t xml:space="preserve">A Guide to Diagnosis and Treatment (2nd ed.)</t>
  </si>
  <si>
    <r>
      <rPr>
        <sz val="10"/>
        <rFont val="WenQuanYi Zen Hei"/>
        <family val="2"/>
      </rPr>
      <t xml:space="preserve">肘关节尺侧副韧带损伤：诊断与治疗指南（第</t>
    </r>
    <r>
      <rPr>
        <sz val="10"/>
        <rFont val="Arial"/>
        <family val="0"/>
        <charset val="1"/>
      </rPr>
      <t xml:space="preserve">2</t>
    </r>
    <r>
      <rPr>
        <sz val="10"/>
        <rFont val="WenQuanYi Zen Hei"/>
        <family val="2"/>
      </rPr>
      <t xml:space="preserve">版）</t>
    </r>
  </si>
  <si>
    <t xml:space="preserve">10.1007/978-3-030-69567-5</t>
  </si>
  <si>
    <t xml:space="preserve">https://link.springer.com/book/10.1007/978-3-030-69567-5</t>
  </si>
  <si>
    <t xml:space="preserve">Selected chapters include video clips demonstrating step-by-step surgical techniques / Enhanced with select video clips illustrating surgical techniques, Elbow Ulnar Collateral Ligament Injury, Second Edition remains a go-to resource for orthopedic surgeons, sports medicine specialists, therapists and trainers who work with athletes that suffer from these conditions.</t>
  </si>
  <si>
    <t xml:space="preserve">Tendinopathy</t>
  </si>
  <si>
    <t xml:space="preserve">From Basic Science to Clinical Management</t>
  </si>
  <si>
    <t xml:space="preserve">肌腱病：从基础科学到临床管理</t>
  </si>
  <si>
    <t xml:space="preserve">10.1007/978-3-030-65335-4</t>
  </si>
  <si>
    <t xml:space="preserve">https://link.springer.com/book/10.1007/978-3-030-65335-4</t>
  </si>
  <si>
    <t xml:space="preserve">Proximal Hamstring Tears</t>
  </si>
  <si>
    <t xml:space="preserve">From Endoscopic Repair to Open Reconstruction</t>
  </si>
  <si>
    <t xml:space="preserve">腘绳肌近端撕裂：从内镜修复到开放重建</t>
  </si>
  <si>
    <t xml:space="preserve">10.1007/978-3-030-56025-6</t>
  </si>
  <si>
    <t xml:space="preserve">https://link.springer.com/book/10.1007/978-3-030-56025-6</t>
  </si>
  <si>
    <t xml:space="preserve">The Management of Biceps Pathology</t>
  </si>
  <si>
    <t xml:space="preserve">A Clinical Guide from the Shoulder to the Elbow</t>
  </si>
  <si>
    <t xml:space="preserve">肱二头肌病变的处理：从肩到肘的临床指南</t>
  </si>
  <si>
    <t xml:space="preserve">10.1007/978-3-030-63019-5</t>
  </si>
  <si>
    <t xml:space="preserve">https://link.springer.com/book/10.1007/978-3-030-63019-5</t>
  </si>
  <si>
    <t xml:space="preserve">Congenital Anomalies of the Upper Extremity</t>
  </si>
  <si>
    <t xml:space="preserve">Etiology and Management (2nd ed.)</t>
  </si>
  <si>
    <r>
      <rPr>
        <sz val="10"/>
        <rFont val="WenQuanYi Zen Hei"/>
        <family val="2"/>
      </rPr>
      <t xml:space="preserve">上肢先天性畸形：病因与治疗（第</t>
    </r>
    <r>
      <rPr>
        <sz val="10"/>
        <rFont val="Arial"/>
        <family val="0"/>
        <charset val="1"/>
      </rPr>
      <t xml:space="preserve">2</t>
    </r>
    <r>
      <rPr>
        <sz val="10"/>
        <rFont val="WenQuanYi Zen Hei"/>
        <family val="2"/>
      </rPr>
      <t xml:space="preserve">版）</t>
    </r>
  </si>
  <si>
    <t xml:space="preserve">10.1007/978-3-030-64159-7</t>
  </si>
  <si>
    <t xml:space="preserve">https://link.springer.com/book/10.1007/978-3-030-64159-7</t>
  </si>
  <si>
    <t xml:space="preserve">Clinical Aspects of Competitive Video Gaming</t>
  </si>
  <si>
    <t xml:space="preserve">电子竞技医学手册：竞技电子游戏的临床问题</t>
  </si>
  <si>
    <t xml:space="preserve">10.1007/978-3-030-73610-1</t>
  </si>
  <si>
    <t xml:space="preserve">https://link.springer.com/book/10.1007/978-3-030-73610-1</t>
  </si>
  <si>
    <t xml:space="preserve">Clinical Aspects of Competitive Video Gaming / The first book of its kind to focus exclusively on esports medicine, the diagnosis and management of injuries and conditions affecting competitive video gamers / With over 450 million viewers worldwide and over $1 billion in revenue in 2019, competitive video gaming - known more popularly as esports - is not a fad, but rather a technological and cultural phenomenon. To remain competitive in this popular and sometimes lucrative field, gamers often pr</t>
  </si>
  <si>
    <t xml:space="preserve">脊髓损伤的管理与康复</t>
  </si>
  <si>
    <t xml:space="preserve">10.1007/978-981-10-7033-4</t>
  </si>
  <si>
    <t xml:space="preserve">https://link.springer.com/book/10.1007/978-981-10-7033-4</t>
  </si>
  <si>
    <t xml:space="preserve">Immunology and Rheumatology in Questions</t>
  </si>
  <si>
    <r>
      <rPr>
        <sz val="10"/>
        <rFont val="WenQuanYi Zen Hei"/>
        <family val="2"/>
      </rPr>
      <t xml:space="preserve">免疫学与风湿病学问答（第</t>
    </r>
    <r>
      <rPr>
        <sz val="10"/>
        <rFont val="Arial"/>
        <family val="0"/>
        <charset val="1"/>
      </rPr>
      <t xml:space="preserve">2</t>
    </r>
    <r>
      <rPr>
        <sz val="10"/>
        <rFont val="WenQuanYi Zen Hei"/>
        <family val="2"/>
      </rPr>
      <t xml:space="preserve">版）</t>
    </r>
  </si>
  <si>
    <t xml:space="preserve">10.1007/978-3-030-56670-8</t>
  </si>
  <si>
    <t xml:space="preserve">https://link.springer.com/book/10.1007/978-3-030-56670-8</t>
  </si>
  <si>
    <t xml:space="preserve">Comprehensive Treatment of Knee Osteoarthritis</t>
  </si>
  <si>
    <t xml:space="preserve">Recent Advances</t>
  </si>
  <si>
    <t xml:space="preserve">膝骨关节炎综合治疗：最新进展</t>
  </si>
  <si>
    <t xml:space="preserve">10.1007/978-3-030-44492-1</t>
  </si>
  <si>
    <t xml:space="preserve">https://link.springer.com/book/10.1007/978-3-030-44492-1</t>
  </si>
  <si>
    <r>
      <rPr>
        <sz val="10"/>
        <rFont val="WenQuanYi Zen Hei"/>
        <family val="2"/>
      </rPr>
      <t xml:space="preserve">同主编 </t>
    </r>
    <r>
      <rPr>
        <sz val="10"/>
        <rFont val="Arial"/>
        <family val="0"/>
        <charset val="1"/>
      </rPr>
      <t xml:space="preserve">Rodríguez-Merchán </t>
    </r>
    <r>
      <rPr>
        <sz val="10"/>
        <rFont val="WenQuanYi Zen Hei"/>
        <family val="2"/>
      </rPr>
      <t xml:space="preserve">另有《全膝关节置换术综述与指南》中译本，非本书</t>
    </r>
  </si>
  <si>
    <t xml:space="preserve">Operational and Medical Management of Explosive and Blast Incidents</t>
  </si>
  <si>
    <t xml:space="preserve">爆炸及冲击伤事件的现场处置与医疗管理</t>
  </si>
  <si>
    <t xml:space="preserve">10.1007/978-3-030-40655-4</t>
  </si>
  <si>
    <t xml:space="preserve">https://link.springer.com/book/10.1007/978-3-030-40655-4</t>
  </si>
  <si>
    <t xml:space="preserve">The Peroneal Tendons</t>
  </si>
  <si>
    <t xml:space="preserve">A Clinical Guide to Evaluation and Management</t>
  </si>
  <si>
    <t xml:space="preserve">腓骨肌腱：临床评估与处理指南</t>
  </si>
  <si>
    <t xml:space="preserve">10.1007/978-3-030-46646-6</t>
  </si>
  <si>
    <t xml:space="preserve">https://link.springer.com/book/10.1007/978-3-030-46646-6</t>
  </si>
  <si>
    <r>
      <rPr>
        <sz val="10"/>
        <rFont val="WenQuanYi Zen Hei"/>
        <family val="2"/>
      </rPr>
      <t xml:space="preserve">《腓骨肌腱：临床评估与处理原则》，</t>
    </r>
    <r>
      <rPr>
        <sz val="10"/>
        <rFont val="Arial"/>
        <family val="0"/>
        <charset val="1"/>
      </rPr>
      <t xml:space="preserve">(</t>
    </r>
    <r>
      <rPr>
        <sz val="10"/>
        <rFont val="WenQuanYi Zen Hei"/>
        <family val="2"/>
      </rPr>
      <t xml:space="preserve">美</t>
    </r>
    <r>
      <rPr>
        <sz val="10"/>
        <rFont val="Arial"/>
        <family val="0"/>
        <charset val="1"/>
      </rPr>
      <t xml:space="preserve">)</t>
    </r>
    <r>
      <rPr>
        <sz val="10"/>
        <rFont val="WenQuanYi Zen Hei"/>
        <family val="2"/>
      </rPr>
      <t xml:space="preserve">马克</t>
    </r>
    <r>
      <rPr>
        <sz val="10"/>
        <rFont val="Arial"/>
        <family val="0"/>
        <charset val="1"/>
      </rPr>
      <t xml:space="preserve">·</t>
    </r>
    <r>
      <rPr>
        <sz val="10"/>
        <rFont val="WenQuanYi Zen Hei"/>
        <family val="2"/>
      </rPr>
      <t xml:space="preserve">索贝尔 主编，赵宏谋、陶旭 主译，辽宁科学技术出版社 </t>
    </r>
    <r>
      <rPr>
        <sz val="10"/>
        <rFont val="Arial"/>
        <family val="0"/>
        <charset val="1"/>
      </rPr>
      <t xml:space="preserve">2023</t>
    </r>
    <r>
      <rPr>
        <sz val="10"/>
        <rFont val="WenQuanYi Zen Hei"/>
        <family val="2"/>
      </rPr>
      <t xml:space="preserve">，</t>
    </r>
    <r>
      <rPr>
        <sz val="10"/>
        <rFont val="Arial"/>
        <family val="0"/>
        <charset val="1"/>
      </rPr>
      <t xml:space="preserve">ISBN 978-7-5591-2489-0</t>
    </r>
  </si>
  <si>
    <t xml:space="preserve">Regenerative Medicine for Spine and Joint Pain</t>
  </si>
  <si>
    <t xml:space="preserve">脊柱与关节疼痛的再生医学</t>
  </si>
  <si>
    <t xml:space="preserve">10.1007/978-3-030-42771-9</t>
  </si>
  <si>
    <t xml:space="preserve">https://link.springer.com/book/10.1007/978-3-030-42771-9</t>
  </si>
  <si>
    <t xml:space="preserve">Elbow Arthroplasty</t>
  </si>
  <si>
    <t xml:space="preserve">Current Techniques and Complications</t>
  </si>
  <si>
    <t xml:space="preserve">肘关节置换术：现行技术与并发症</t>
  </si>
  <si>
    <t xml:space="preserve">10.1007/978-3-030-14455-5</t>
  </si>
  <si>
    <t xml:space="preserve">https://link.springer.com/book/10.1007/978-3-030-14455-5</t>
  </si>
  <si>
    <r>
      <rPr>
        <sz val="10"/>
        <rFont val="WenQuanYi Zen Hei"/>
        <family val="2"/>
      </rPr>
      <t xml:space="preserve">《肘关节置换手术技术》，</t>
    </r>
    <r>
      <rPr>
        <sz val="10"/>
        <rFont val="Arial"/>
        <family val="0"/>
        <charset val="1"/>
      </rPr>
      <t xml:space="preserve">(</t>
    </r>
    <r>
      <rPr>
        <sz val="10"/>
        <rFont val="WenQuanYi Zen Hei"/>
        <family val="2"/>
      </rPr>
      <t xml:space="preserve">意</t>
    </r>
    <r>
      <rPr>
        <sz val="10"/>
        <rFont val="Arial"/>
        <family val="0"/>
        <charset val="1"/>
      </rPr>
      <t xml:space="preserve">)</t>
    </r>
    <r>
      <rPr>
        <sz val="10"/>
        <rFont val="WenQuanYi Zen Hei"/>
        <family val="2"/>
      </rPr>
      <t xml:space="preserve">菲利波</t>
    </r>
    <r>
      <rPr>
        <sz val="10"/>
        <rFont val="Arial"/>
        <family val="0"/>
        <charset val="1"/>
      </rPr>
      <t xml:space="preserve">·</t>
    </r>
    <r>
      <rPr>
        <sz val="10"/>
        <rFont val="WenQuanYi Zen Hei"/>
        <family val="2"/>
      </rPr>
      <t xml:space="preserve">卡斯托尔迪等 主编，范存义 主译，辽宁科学技术出版社 </t>
    </r>
    <r>
      <rPr>
        <sz val="10"/>
        <rFont val="Arial"/>
        <family val="0"/>
        <charset val="1"/>
      </rPr>
      <t xml:space="preserve">2024</t>
    </r>
    <r>
      <rPr>
        <sz val="10"/>
        <rFont val="WenQuanYi Zen Hei"/>
        <family val="2"/>
      </rPr>
      <t xml:space="preserve">，</t>
    </r>
    <r>
      <rPr>
        <sz val="10"/>
        <rFont val="Arial"/>
        <family val="0"/>
        <charset val="1"/>
      </rPr>
      <t xml:space="preserve">ISBN 978-7-5591-2302-2</t>
    </r>
  </si>
  <si>
    <t xml:space="preserve">Revision Total Joint Arthroplasty</t>
  </si>
  <si>
    <t xml:space="preserve">全关节置换翻修术</t>
  </si>
  <si>
    <t xml:space="preserve">10.1007/978-3-030-24773-7</t>
  </si>
  <si>
    <t xml:space="preserve">https://link.springer.com/book/10.1007/978-3-030-24773-7</t>
  </si>
  <si>
    <t xml:space="preserve">Ankle Joint Arthroscopy</t>
  </si>
  <si>
    <t xml:space="preserve">A Step-by-Step Guide</t>
  </si>
  <si>
    <t xml:space="preserve">踝关节镜：分步操作指南</t>
  </si>
  <si>
    <t xml:space="preserve">10.1007/978-3-030-29231-7</t>
  </si>
  <si>
    <t xml:space="preserve">https://link.springer.com/book/10.1007/978-3-030-29231-7</t>
  </si>
  <si>
    <t xml:space="preserve">Includes a wealth of figures and videos detailing step-by-step procedures / This book provides a comprehensive overview of current arthroscopic techniques for the management of ankle joint disorders. An introductory section clearly and accessibly explains the anatomy in question, the portal placement and other ankle procedures, addressing both the articular and extra-articu</t>
  </si>
  <si>
    <t xml:space="preserve">Essential Orthopedic Review</t>
  </si>
  <si>
    <t xml:space="preserve">Questions and Answers for Senior Medical Students</t>
  </si>
  <si>
    <t xml:space="preserve">骨科精要复习：高年级医学生问答</t>
  </si>
  <si>
    <t xml:space="preserve">10.1007/978-3-319-78387-1</t>
  </si>
  <si>
    <t xml:space="preserve">https://link.springer.com/book/10.1007/978-3-319-78387-1</t>
  </si>
  <si>
    <t xml:space="preserve">Spinal Anatomy</t>
  </si>
  <si>
    <t xml:space="preserve">Modern Concepts</t>
  </si>
  <si>
    <t xml:space="preserve">脊柱解剖学：现代观点</t>
  </si>
  <si>
    <t xml:space="preserve">10.1007/978-3-030-20925-4</t>
  </si>
  <si>
    <t xml:space="preserve">https://link.springer.com/book/10.1007/978-3-030-20925-4</t>
  </si>
  <si>
    <r>
      <rPr>
        <sz val="10"/>
        <rFont val="WenQuanYi Zen Hei"/>
        <family val="2"/>
      </rPr>
      <t xml:space="preserve">《脊柱解剖新概念》，</t>
    </r>
    <r>
      <rPr>
        <sz val="10"/>
        <rFont val="Arial"/>
        <family val="0"/>
        <charset val="1"/>
      </rPr>
      <t xml:space="preserve">(</t>
    </r>
    <r>
      <rPr>
        <sz val="10"/>
        <rFont val="WenQuanYi Zen Hei"/>
        <family val="2"/>
      </rPr>
      <t xml:space="preserve">法</t>
    </r>
    <r>
      <rPr>
        <sz val="10"/>
        <rFont val="Arial"/>
        <family val="0"/>
        <charset val="1"/>
      </rPr>
      <t xml:space="preserve">)</t>
    </r>
    <r>
      <rPr>
        <sz val="10"/>
        <rFont val="WenQuanYi Zen Hei"/>
        <family val="2"/>
      </rPr>
      <t xml:space="preserve">让</t>
    </r>
    <r>
      <rPr>
        <sz val="10"/>
        <rFont val="Arial"/>
        <family val="0"/>
        <charset val="1"/>
      </rPr>
      <t xml:space="preserve">-</t>
    </r>
    <r>
      <rPr>
        <sz val="10"/>
        <rFont val="WenQuanYi Zen Hei"/>
        <family val="2"/>
      </rPr>
      <t xml:space="preserve">马克</t>
    </r>
    <r>
      <rPr>
        <sz val="10"/>
        <rFont val="Arial"/>
        <family val="0"/>
        <charset val="1"/>
      </rPr>
      <t xml:space="preserve">·</t>
    </r>
    <r>
      <rPr>
        <sz val="10"/>
        <rFont val="WenQuanYi Zen Hei"/>
        <family val="2"/>
      </rPr>
      <t xml:space="preserve">维塔尔 原著，陈其昕、李方财 主译，中国科学技术出版社 </t>
    </r>
    <r>
      <rPr>
        <sz val="10"/>
        <rFont val="Arial"/>
        <family val="0"/>
        <charset val="1"/>
      </rPr>
      <t xml:space="preserve">2022</t>
    </r>
    <r>
      <rPr>
        <sz val="10"/>
        <rFont val="WenQuanYi Zen Hei"/>
        <family val="2"/>
      </rPr>
      <t xml:space="preserve">，</t>
    </r>
    <r>
      <rPr>
        <sz val="10"/>
        <rFont val="Arial"/>
        <family val="0"/>
        <charset val="1"/>
      </rPr>
      <t xml:space="preserve">ISBN 978-7-5046-9449-2</t>
    </r>
  </si>
  <si>
    <t xml:space="preserve">Rehabilitation Science in Context</t>
  </si>
  <si>
    <t xml:space="preserve">情境中的康复科学</t>
  </si>
  <si>
    <t xml:space="preserve">Advances in Experimental Medicine and Biology</t>
  </si>
  <si>
    <t xml:space="preserve">10.1007/978-3-319-95708-1</t>
  </si>
  <si>
    <t xml:space="preserve">https://link.springer.com/book/10.1007/978-3-319-95708-1</t>
  </si>
  <si>
    <t xml:space="preserve">Global Orthopedics</t>
  </si>
  <si>
    <t xml:space="preserve">Caring for Musculoskeletal Conditions and Injuries in Austere Settings (2nd ed.)</t>
  </si>
  <si>
    <r>
      <rPr>
        <sz val="10"/>
        <rFont val="WenQuanYi Zen Hei"/>
        <family val="2"/>
      </rPr>
      <t xml:space="preserve">全球骨科：资源匮乏环境下肌肉骨骼疾病与损伤的诊疗（第</t>
    </r>
    <r>
      <rPr>
        <sz val="10"/>
        <rFont val="Arial"/>
        <family val="0"/>
        <charset val="1"/>
      </rPr>
      <t xml:space="preserve">2</t>
    </r>
    <r>
      <rPr>
        <sz val="10"/>
        <rFont val="WenQuanYi Zen Hei"/>
        <family val="2"/>
      </rPr>
      <t xml:space="preserve">版）</t>
    </r>
  </si>
  <si>
    <t xml:space="preserve">10.1007/978-3-030-13290-3</t>
  </si>
  <si>
    <t xml:space="preserve">https://link.springer.com/book/10.1007/978-3-030-13290-3</t>
  </si>
  <si>
    <t xml:space="preserve">Spinal Conditions in the Athlete</t>
  </si>
  <si>
    <t xml:space="preserve">A Clinical Guide to Evaluation, Management and Controversies</t>
  </si>
  <si>
    <t xml:space="preserve">运动员脊柱疾病：评估、处理及争议的临床指南</t>
  </si>
  <si>
    <t xml:space="preserve">10.1007/978-3-030-26207-5</t>
  </si>
  <si>
    <t xml:space="preserve">https://link.springer.com/book/10.1007/978-3-030-26207-5</t>
  </si>
  <si>
    <t xml:space="preserve">Return to Sport after ACL Reconstruction and Other Knee Operations</t>
  </si>
  <si>
    <t xml:space="preserve">Limiting the Risk of Reinjury and Maximizing Athletic Performance</t>
  </si>
  <si>
    <t xml:space="preserve">前交叉韧带重建及其他膝关节手术后重返运动：降低再损伤风险与提升运动表现</t>
  </si>
  <si>
    <t xml:space="preserve">10.1007/978-3-030-22361-8</t>
  </si>
  <si>
    <t xml:space="preserve">https://link.springer.com/book/10.1007/978-3-030-22361-8</t>
  </si>
  <si>
    <r>
      <rPr>
        <sz val="10"/>
        <rFont val="WenQuanYi Zen Hei"/>
        <family val="2"/>
      </rPr>
      <t xml:space="preserve">同作者 </t>
    </r>
    <r>
      <rPr>
        <sz val="10"/>
        <rFont val="Arial"/>
        <family val="0"/>
        <charset val="1"/>
      </rPr>
      <t xml:space="preserve">Noyes </t>
    </r>
    <r>
      <rPr>
        <sz val="10"/>
        <rFont val="WenQuanYi Zen Hei"/>
        <family val="2"/>
      </rPr>
      <t xml:space="preserve">另有 </t>
    </r>
    <r>
      <rPr>
        <sz val="10"/>
        <rFont val="Arial"/>
        <family val="0"/>
        <charset val="1"/>
      </rPr>
      <t xml:space="preserve">Elsevier </t>
    </r>
    <r>
      <rPr>
        <sz val="10"/>
        <rFont val="WenQuanYi Zen Hei"/>
        <family val="2"/>
      </rPr>
      <t xml:space="preserve">版《诺伊斯膝关节功能紊乱》中译本，非本书</t>
    </r>
  </si>
  <si>
    <t xml:space="preserve">Cubital Tunnel Syndrome</t>
  </si>
  <si>
    <t xml:space="preserve">肘管综合征：诊断、治疗与康复</t>
  </si>
  <si>
    <t xml:space="preserve">10.1007/978-3-030-14171-4</t>
  </si>
  <si>
    <t xml:space="preserve">https://link.springer.com/book/10.1007/978-3-030-14171-4</t>
  </si>
  <si>
    <t xml:space="preserve">Tennis Medicine</t>
  </si>
  <si>
    <t xml:space="preserve">A Complete Guide to Evaluation, Treatment, and Rehabilitation</t>
  </si>
  <si>
    <t xml:space="preserve">网球医学：评估、治疗与康复全指南</t>
  </si>
  <si>
    <t xml:space="preserve">10.1007/978-3-319-71498-1</t>
  </si>
  <si>
    <t xml:space="preserve">https://link.springer.com/book/10.1007/978-3-319-71498-1</t>
  </si>
  <si>
    <t xml:space="preserve">Mechanics, Pathomechanics and Injury in the Overhead Athlete</t>
  </si>
  <si>
    <t xml:space="preserve">A Case-Based Approach to Evaluation, Diagnosis and Management</t>
  </si>
  <si>
    <t xml:space="preserve">过顶运动员的力学、病理力学与损伤：基于病例的评估、诊断与处理</t>
  </si>
  <si>
    <t xml:space="preserve">10.1007/978-3-030-12775-6</t>
  </si>
  <si>
    <t xml:space="preserve">https://link.springer.com/book/10.1007/978-3-030-12775-6</t>
  </si>
  <si>
    <t xml:space="preserve">Essential Foot and Ankle Surgical Techniques</t>
  </si>
  <si>
    <t xml:space="preserve">A Multidisciplinary Approach</t>
  </si>
  <si>
    <t xml:space="preserve">足踝外科基本手术技术：多学科方法</t>
  </si>
  <si>
    <t xml:space="preserve">10.1007/978-3-030-14778-5</t>
  </si>
  <si>
    <t xml:space="preserve">https://link.springer.com/book/10.1007/978-3-030-14778-5</t>
  </si>
  <si>
    <r>
      <rPr>
        <sz val="10"/>
        <rFont val="WenQuanYi Zen Hei"/>
        <family val="2"/>
      </rPr>
      <t xml:space="preserve">《足踝外科手术技术精要：多学科合作路径》，</t>
    </r>
    <r>
      <rPr>
        <sz val="10"/>
        <rFont val="Arial"/>
        <family val="0"/>
        <charset val="1"/>
      </rPr>
      <t xml:space="preserve">(</t>
    </r>
    <r>
      <rPr>
        <sz val="10"/>
        <rFont val="WenQuanYi Zen Hei"/>
        <family val="2"/>
      </rPr>
      <t xml:space="preserve">美</t>
    </r>
    <r>
      <rPr>
        <sz val="10"/>
        <rFont val="Arial"/>
        <family val="0"/>
        <charset val="1"/>
      </rPr>
      <t xml:space="preserve">)Christopher F. Hyer </t>
    </r>
    <r>
      <rPr>
        <sz val="10"/>
        <rFont val="WenQuanYi Zen Hei"/>
        <family val="2"/>
      </rPr>
      <t xml:space="preserve">等 原著，施忠民、洪劲松 主译，中国科学技术出版社 </t>
    </r>
    <r>
      <rPr>
        <sz val="10"/>
        <rFont val="Arial"/>
        <family val="0"/>
        <charset val="1"/>
      </rPr>
      <t xml:space="preserve">2025</t>
    </r>
    <r>
      <rPr>
        <sz val="10"/>
        <rFont val="WenQuanYi Zen Hei"/>
        <family val="2"/>
      </rPr>
      <t xml:space="preserve">，</t>
    </r>
    <r>
      <rPr>
        <sz val="10"/>
        <rFont val="Arial"/>
        <family val="0"/>
        <charset val="1"/>
      </rPr>
      <t xml:space="preserve">ISBN 978-7-5236-1530-0</t>
    </r>
  </si>
  <si>
    <t xml:space="preserve">The Multiple Ligament Injured Knee</t>
  </si>
  <si>
    <t xml:space="preserve">A Practical Guide to Management (3rd ed.)</t>
  </si>
  <si>
    <r>
      <rPr>
        <sz val="10"/>
        <rFont val="WenQuanYi Zen Hei"/>
        <family val="2"/>
      </rPr>
      <t xml:space="preserve">膝关节多韧带损伤：实用处理指南（第</t>
    </r>
    <r>
      <rPr>
        <sz val="10"/>
        <rFont val="Arial"/>
        <family val="0"/>
        <charset val="1"/>
      </rPr>
      <t xml:space="preserve">3</t>
    </r>
    <r>
      <rPr>
        <sz val="10"/>
        <rFont val="WenQuanYi Zen Hei"/>
        <family val="2"/>
      </rPr>
      <t xml:space="preserve">版）</t>
    </r>
  </si>
  <si>
    <t xml:space="preserve">10.1007/978-3-030-05396-3</t>
  </si>
  <si>
    <t xml:space="preserve">https://link.springer.com/book/10.1007/978-3-030-05396-3</t>
  </si>
  <si>
    <r>
      <rPr>
        <sz val="10"/>
        <rFont val="WenQuanYi Zen Hei"/>
        <family val="2"/>
      </rPr>
      <t xml:space="preserve">第</t>
    </r>
    <r>
      <rPr>
        <sz val="10"/>
        <rFont val="Arial"/>
        <family val="0"/>
        <charset val="1"/>
      </rPr>
      <t xml:space="preserve">3</t>
    </r>
    <r>
      <rPr>
        <sz val="10"/>
        <rFont val="WenQuanYi Zen Hei"/>
        <family val="2"/>
      </rPr>
      <t xml:space="preserve">版未见中译；其第</t>
    </r>
    <r>
      <rPr>
        <sz val="10"/>
        <rFont val="Arial"/>
        <family val="0"/>
        <charset val="1"/>
      </rPr>
      <t xml:space="preserve">2</t>
    </r>
    <r>
      <rPr>
        <sz val="10"/>
        <rFont val="WenQuanYi Zen Hei"/>
        <family val="2"/>
      </rPr>
      <t xml:space="preserve">版有中译本《膝关节多发韧带损伤（第</t>
    </r>
    <r>
      <rPr>
        <sz val="10"/>
        <rFont val="Arial"/>
        <family val="0"/>
        <charset val="1"/>
      </rPr>
      <t xml:space="preserve">2</t>
    </r>
    <r>
      <rPr>
        <sz val="10"/>
        <rFont val="WenQuanYi Zen Hei"/>
        <family val="2"/>
      </rPr>
      <t xml:space="preserve">版）》，李箭 主译</t>
    </r>
  </si>
  <si>
    <t xml:space="preserve">Sacroiliac Joint Disorder</t>
  </si>
  <si>
    <t xml:space="preserve">Accurately Diagnosing Low Back Pain</t>
  </si>
  <si>
    <t xml:space="preserve">骶髂关节功能障碍：腰痛的精准诊断</t>
  </si>
  <si>
    <t xml:space="preserve">Eiichi Murakami</t>
  </si>
  <si>
    <t xml:space="preserve">10.1007/978-981-13-1807-8</t>
  </si>
  <si>
    <t xml:space="preserve">https://link.springer.com/book/10.1007/978-981-13-1807-8</t>
  </si>
  <si>
    <t xml:space="preserve">Joint Denervation</t>
  </si>
  <si>
    <t xml:space="preserve">An Atlas of Surgical Techniques</t>
  </si>
  <si>
    <t xml:space="preserve">关节去神经术：手术技术图谱</t>
  </si>
  <si>
    <t xml:space="preserve">A. Lee Dellon</t>
  </si>
  <si>
    <t xml:space="preserve">10.1007/978-3-030-05538-7</t>
  </si>
  <si>
    <t xml:space="preserve">https://link.springer.com/book/10.1007/978-3-030-05538-7</t>
  </si>
  <si>
    <r>
      <rPr>
        <sz val="10"/>
        <rFont val="WenQuanYi Zen Hei"/>
        <family val="2"/>
      </rPr>
      <t xml:space="preserve">《关节去神经术》，</t>
    </r>
    <r>
      <rPr>
        <sz val="10"/>
        <rFont val="Arial"/>
        <family val="0"/>
        <charset val="1"/>
      </rPr>
      <t xml:space="preserve">(</t>
    </r>
    <r>
      <rPr>
        <sz val="10"/>
        <rFont val="WenQuanYi Zen Hei"/>
        <family val="2"/>
      </rPr>
      <t xml:space="preserve">美</t>
    </r>
    <r>
      <rPr>
        <sz val="10"/>
        <rFont val="Arial"/>
        <family val="0"/>
        <charset val="1"/>
      </rPr>
      <t xml:space="preserve">)A. Lee Dellon </t>
    </r>
    <r>
      <rPr>
        <sz val="10"/>
        <rFont val="WenQuanYi Zen Hei"/>
        <family val="2"/>
      </rPr>
      <t xml:space="preserve">编著，陈增淦、张峰 主译，上海科学技术出版社 </t>
    </r>
    <r>
      <rPr>
        <sz val="10"/>
        <rFont val="Arial"/>
        <family val="0"/>
        <charset val="1"/>
      </rPr>
      <t xml:space="preserve">2021</t>
    </r>
    <r>
      <rPr>
        <sz val="10"/>
        <rFont val="WenQuanYi Zen Hei"/>
        <family val="2"/>
      </rPr>
      <t xml:space="preserve">，</t>
    </r>
    <r>
      <rPr>
        <sz val="10"/>
        <rFont val="Arial"/>
        <family val="0"/>
        <charset val="1"/>
      </rPr>
      <t xml:space="preserve">ISBN 978-7-5478-5233-0</t>
    </r>
  </si>
  <si>
    <t xml:space="preserve">Cartilage Restoration</t>
  </si>
  <si>
    <t xml:space="preserve">Practical Clinical Applications (2nd ed.)</t>
  </si>
  <si>
    <r>
      <rPr>
        <sz val="10"/>
        <rFont val="WenQuanYi Zen Hei"/>
        <family val="2"/>
      </rPr>
      <t xml:space="preserve">软骨修复：临床实践应用（第</t>
    </r>
    <r>
      <rPr>
        <sz val="10"/>
        <rFont val="Arial"/>
        <family val="0"/>
        <charset val="1"/>
      </rPr>
      <t xml:space="preserve">2</t>
    </r>
    <r>
      <rPr>
        <sz val="10"/>
        <rFont val="WenQuanYi Zen Hei"/>
        <family val="2"/>
      </rPr>
      <t xml:space="preserve">版）</t>
    </r>
  </si>
  <si>
    <t xml:space="preserve">10.1007/978-3-319-77152-6</t>
  </si>
  <si>
    <t xml:space="preserve">https://link.springer.com/book/10.1007/978-3-319-77152-6</t>
  </si>
  <si>
    <r>
      <rPr>
        <sz val="10"/>
        <rFont val="WenQuanYi Zen Hei"/>
        <family val="2"/>
      </rPr>
      <t xml:space="preserve">《软骨修复：临床实践（原著第</t>
    </r>
    <r>
      <rPr>
        <sz val="10"/>
        <rFont val="Arial"/>
        <family val="0"/>
        <charset val="1"/>
      </rPr>
      <t xml:space="preserve">2</t>
    </r>
    <r>
      <rPr>
        <sz val="10"/>
        <rFont val="WenQuanYi Zen Hei"/>
        <family val="2"/>
      </rPr>
      <t xml:space="preserve">版）》，</t>
    </r>
    <r>
      <rPr>
        <sz val="10"/>
        <rFont val="Arial"/>
        <family val="0"/>
        <charset val="1"/>
      </rPr>
      <t xml:space="preserve">(</t>
    </r>
    <r>
      <rPr>
        <sz val="10"/>
        <rFont val="WenQuanYi Zen Hei"/>
        <family val="2"/>
      </rPr>
      <t xml:space="preserve">美</t>
    </r>
    <r>
      <rPr>
        <sz val="10"/>
        <rFont val="Arial"/>
        <family val="0"/>
        <charset val="1"/>
      </rPr>
      <t xml:space="preserve">)Jack Farr</t>
    </r>
    <r>
      <rPr>
        <sz val="10"/>
        <rFont val="WenQuanYi Zen Hei"/>
        <family val="2"/>
      </rPr>
      <t xml:space="preserve">、</t>
    </r>
    <r>
      <rPr>
        <sz val="10"/>
        <rFont val="Arial"/>
        <family val="0"/>
        <charset val="1"/>
      </rPr>
      <t xml:space="preserve">Andreas H. Gomoll </t>
    </r>
    <r>
      <rPr>
        <sz val="10"/>
        <rFont val="WenQuanYi Zen Hei"/>
        <family val="2"/>
      </rPr>
      <t xml:space="preserve">原著，谭洪波、肖洪、韩梅 主译，世界图书出版公司 </t>
    </r>
    <r>
      <rPr>
        <sz val="10"/>
        <rFont val="Arial"/>
        <family val="0"/>
        <charset val="1"/>
      </rPr>
      <t xml:space="preserve">2020</t>
    </r>
    <r>
      <rPr>
        <sz val="10"/>
        <rFont val="WenQuanYi Zen Hei"/>
        <family val="2"/>
      </rPr>
      <t xml:space="preserve">，</t>
    </r>
    <r>
      <rPr>
        <sz val="10"/>
        <rFont val="Arial"/>
        <family val="0"/>
        <charset val="1"/>
      </rPr>
      <t xml:space="preserve">ISBN 978-7-5192-7016-2</t>
    </r>
  </si>
  <si>
    <t xml:space="preserve">Fractures in the Elderly</t>
  </si>
  <si>
    <t xml:space="preserve">A Guide to Practical Management</t>
  </si>
  <si>
    <t xml:space="preserve">老年骨折：实用处理指南</t>
  </si>
  <si>
    <t xml:space="preserve">Aging Medicine</t>
  </si>
  <si>
    <t xml:space="preserve">10.1007/978-3-319-72228-3</t>
  </si>
  <si>
    <t xml:space="preserve">https://link.springer.com/book/10.1007/978-3-319-72228-3</t>
  </si>
  <si>
    <r>
      <rPr>
        <sz val="10"/>
        <rFont val="Arial"/>
        <family val="0"/>
        <charset val="1"/>
      </rPr>
      <t xml:space="preserve">2018 </t>
    </r>
    <r>
      <rPr>
        <sz val="10"/>
        <rFont val="WenQuanYi Zen Hei"/>
        <family val="2"/>
      </rPr>
      <t xml:space="preserve">年第</t>
    </r>
    <r>
      <rPr>
        <sz val="10"/>
        <rFont val="Arial"/>
        <family val="0"/>
        <charset val="1"/>
      </rPr>
      <t xml:space="preserve">2</t>
    </r>
    <r>
      <rPr>
        <sz val="10"/>
        <rFont val="WenQuanYi Zen Hei"/>
        <family val="2"/>
      </rPr>
      <t xml:space="preserve">版未见中译；第</t>
    </r>
    <r>
      <rPr>
        <sz val="10"/>
        <rFont val="Arial"/>
        <family val="0"/>
        <charset val="1"/>
      </rPr>
      <t xml:space="preserve">1</t>
    </r>
    <r>
      <rPr>
        <sz val="10"/>
        <rFont val="WenQuanYi Zen Hei"/>
        <family val="2"/>
      </rPr>
      <t xml:space="preserve">版有中译本《老年骨折治疗》，张英泽 主译，人民卫生出版社 </t>
    </r>
    <r>
      <rPr>
        <sz val="10"/>
        <rFont val="Arial"/>
        <family val="0"/>
        <charset val="1"/>
      </rPr>
      <t xml:space="preserve">2012</t>
    </r>
    <r>
      <rPr>
        <sz val="10"/>
        <rFont val="WenQuanYi Zen Hei"/>
        <family val="2"/>
      </rPr>
      <t xml:space="preserve">，</t>
    </r>
    <r>
      <rPr>
        <sz val="10"/>
        <rFont val="Arial"/>
        <family val="0"/>
        <charset val="1"/>
      </rPr>
      <t xml:space="preserve">ISBN 978-7-117-16191-6</t>
    </r>
  </si>
  <si>
    <t xml:space="preserve">ACL Injuries in the Female Athlete</t>
  </si>
  <si>
    <t xml:space="preserve">Causes, Impacts, and Conditioning Programs (2nd ed.)</t>
  </si>
  <si>
    <r>
      <rPr>
        <sz val="10"/>
        <rFont val="WenQuanYi Zen Hei"/>
        <family val="2"/>
      </rPr>
      <t xml:space="preserve">女性运动员前交叉韧带损伤：病因、影响与体能训练方案（第</t>
    </r>
    <r>
      <rPr>
        <sz val="10"/>
        <rFont val="Arial"/>
        <family val="0"/>
        <charset val="1"/>
      </rPr>
      <t xml:space="preserve">2</t>
    </r>
    <r>
      <rPr>
        <sz val="10"/>
        <rFont val="WenQuanYi Zen Hei"/>
        <family val="2"/>
      </rPr>
      <t xml:space="preserve">版）</t>
    </r>
  </si>
  <si>
    <t xml:space="preserve">10.1007/978-3-662-56558-2</t>
  </si>
  <si>
    <t xml:space="preserve">https://link.springer.com/book/10.1007/978-3-662-56558-2</t>
  </si>
  <si>
    <t xml:space="preserve">The Elbow</t>
  </si>
  <si>
    <t xml:space="preserve">Principles of Surgical Treatment and Rehabilitation</t>
  </si>
  <si>
    <t xml:space="preserve">肘关节：手术治疗与康复原则</t>
  </si>
  <si>
    <t xml:space="preserve">10.1007/978-3-319-27805-6</t>
  </si>
  <si>
    <t xml:space="preserve">https://link.springer.com/book/10.1007/978-3-319-27805-6</t>
  </si>
  <si>
    <t xml:space="preserve">Managing Dismounted Complex Blast Injuries in Military &amp; Civilian Settings</t>
  </si>
  <si>
    <t xml:space="preserve">Guidelines and Principles</t>
  </si>
  <si>
    <t xml:space="preserve">军事与民用环境下徒步复合爆炸伤的处理：指南与原则</t>
  </si>
  <si>
    <t xml:space="preserve">10.1007/978-3-319-74672-2</t>
  </si>
  <si>
    <t xml:space="preserve">https://link.springer.com/book/10.1007/978-3-319-74672-2</t>
  </si>
  <si>
    <t xml:space="preserve">Rehabilitation in Orthopedic Surgery</t>
  </si>
  <si>
    <t xml:space="preserve">骨科手术康复</t>
  </si>
  <si>
    <t xml:space="preserve">10.1007/978-3-662-49149-2</t>
  </si>
  <si>
    <t xml:space="preserve">https://link.springer.com/book/10.1007/978-3-662-49149-2</t>
  </si>
  <si>
    <r>
      <rPr>
        <sz val="10"/>
        <rFont val="WenQuanYi Zen Hei"/>
        <family val="2"/>
      </rPr>
      <t xml:space="preserve">《骨科康复学（第</t>
    </r>
    <r>
      <rPr>
        <sz val="10"/>
        <rFont val="Arial"/>
        <family val="0"/>
        <charset val="1"/>
      </rPr>
      <t xml:space="preserve">2</t>
    </r>
    <r>
      <rPr>
        <sz val="10"/>
        <rFont val="WenQuanYi Zen Hei"/>
        <family val="2"/>
      </rPr>
      <t xml:space="preserve">版）》，</t>
    </r>
    <r>
      <rPr>
        <sz val="10"/>
        <rFont val="Arial"/>
        <family val="0"/>
        <charset val="1"/>
      </rPr>
      <t xml:space="preserve">(</t>
    </r>
    <r>
      <rPr>
        <sz val="10"/>
        <rFont val="WenQuanYi Zen Hei"/>
        <family val="2"/>
      </rPr>
      <t xml:space="preserve">德</t>
    </r>
    <r>
      <rPr>
        <sz val="10"/>
        <rFont val="Arial"/>
        <family val="0"/>
        <charset val="1"/>
      </rPr>
      <t xml:space="preserve">)</t>
    </r>
    <r>
      <rPr>
        <sz val="10"/>
        <rFont val="WenQuanYi Zen Hei"/>
        <family val="2"/>
      </rPr>
      <t xml:space="preserve">安德烈亚斯</t>
    </r>
    <r>
      <rPr>
        <sz val="10"/>
        <rFont val="Arial"/>
        <family val="0"/>
        <charset val="1"/>
      </rPr>
      <t xml:space="preserve">·B.</t>
    </r>
    <r>
      <rPr>
        <sz val="10"/>
        <rFont val="WenQuanYi Zen Hei"/>
        <family val="2"/>
      </rPr>
      <t xml:space="preserve">伊姆霍夫等编，张长杰、孔瑛 译，辽宁科学技术出版社 </t>
    </r>
    <r>
      <rPr>
        <sz val="10"/>
        <rFont val="Arial"/>
        <family val="0"/>
        <charset val="1"/>
      </rPr>
      <t xml:space="preserve">2024-09</t>
    </r>
    <r>
      <rPr>
        <sz val="10"/>
        <rFont val="WenQuanYi Zen Hei"/>
        <family val="2"/>
      </rPr>
      <t xml:space="preserve">，</t>
    </r>
    <r>
      <rPr>
        <sz val="10"/>
        <rFont val="Arial"/>
        <family val="0"/>
        <charset val="1"/>
      </rPr>
      <t xml:space="preserve">ISBN 978-7-5591-3275-8</t>
    </r>
    <r>
      <rPr>
        <sz val="10"/>
        <rFont val="WenQuanYi Zen Hei"/>
        <family val="2"/>
      </rPr>
      <t xml:space="preserve">（据同一编者团队的德文原版第</t>
    </r>
    <r>
      <rPr>
        <sz val="10"/>
        <rFont val="Arial"/>
        <family val="0"/>
        <charset val="1"/>
      </rPr>
      <t xml:space="preserve">2</t>
    </r>
    <r>
      <rPr>
        <sz val="10"/>
        <rFont val="WenQuanYi Zen Hei"/>
        <family val="2"/>
      </rPr>
      <t xml:space="preserve">版译出）</t>
    </r>
  </si>
  <si>
    <t xml:space="preserve">The Pediatric Anterior Cruciate Ligament</t>
  </si>
  <si>
    <t xml:space="preserve">Evaluation and Management Strategies</t>
  </si>
  <si>
    <t xml:space="preserve">儿童前交叉韧带：评估与处理策略</t>
  </si>
  <si>
    <t xml:space="preserve">10.1007/978-3-319-64771-5</t>
  </si>
  <si>
    <t xml:space="preserve">https://link.springer.com/book/10.1007/978-3-319-64771-5</t>
  </si>
  <si>
    <t xml:space="preserve">A Practical Approach to Adolescent Bone Health</t>
  </si>
  <si>
    <t xml:space="preserve">A Guide for the Primary Care Provider</t>
  </si>
  <si>
    <t xml:space="preserve">青少年骨骼健康实用指南：基层医疗人员手册</t>
  </si>
  <si>
    <t xml:space="preserve">10.1007/978-3-319-72880-3</t>
  </si>
  <si>
    <t xml:space="preserve">https://link.springer.com/book/10.1007/978-3-319-72880-3</t>
  </si>
  <si>
    <t xml:space="preserve">Latissimus Dorsi Transfer</t>
  </si>
  <si>
    <t xml:space="preserve">背阔肌转位术</t>
  </si>
  <si>
    <t xml:space="preserve">10.1007/978-3-319-61946-0</t>
  </si>
  <si>
    <t xml:space="preserve">https://link.springer.com/book/10.1007/978-3-319-61946-0</t>
  </si>
  <si>
    <t xml:space="preserve">Pediatric Orthopedics</t>
  </si>
  <si>
    <t xml:space="preserve">Symptoms, Differential Diagnosis, Supplementary Assessment and Treatment</t>
  </si>
  <si>
    <t xml:space="preserve">儿童骨科：症状、鉴别诊断、辅助检查与治疗</t>
  </si>
  <si>
    <t xml:space="preserve">Jan Douwes Visser</t>
  </si>
  <si>
    <t xml:space="preserve">10.1007/978-3-319-40178-2</t>
  </si>
  <si>
    <t xml:space="preserve">https://link.springer.com/book/10.1007/978-3-319-40178-2</t>
  </si>
  <si>
    <t xml:space="preserve">Symptoms, Differential Diagnosis, Supplementary Assessment and Treatment / “This book covers child and adolescent orthopedic disorders in a different way. The purpose is to present a system to accurately diagnose and briefly recommend treatment options using clinical and supplementary assessment tools. The audience is mainly primary care physicians and allied medical profe / Symptoms, Differential Diagnosis, Supplementary Assessment and Treatment</t>
  </si>
  <si>
    <t xml:space="preserve">Prevention of Injuries in the Young Dancer</t>
  </si>
  <si>
    <t xml:space="preserve">青少年舞者损伤预防</t>
  </si>
  <si>
    <t xml:space="preserve">Contemporary Pediatric and Adolescent Sports Medicine</t>
  </si>
  <si>
    <t xml:space="preserve">10.1007/978-3-319-55047-3</t>
  </si>
  <si>
    <t xml:space="preserve">https://link.springer.com/book/10.1007/978-3-319-55047-3</t>
  </si>
  <si>
    <t xml:space="preserve">Includes supplementary material: sn.pub/extras</t>
  </si>
  <si>
    <t xml:space="preserve">Disorders of the Scapula and Their Role in Shoulder Injury</t>
  </si>
  <si>
    <t xml:space="preserve">肩胛骨疾病及其在肩关节损伤中的作用：临床评估与处理指南</t>
  </si>
  <si>
    <t xml:space="preserve">10.1007/978-3-319-53584-5</t>
  </si>
  <si>
    <t xml:space="preserve">https://link.springer.com/book/10.1007/978-3-319-53584-5</t>
  </si>
  <si>
    <r>
      <rPr>
        <sz val="10"/>
        <rFont val="WenQuanYi Zen Hei"/>
        <family val="2"/>
      </rPr>
      <t xml:space="preserve">《肩胛骨障碍及其在肩损伤中的作用：临床评估和康复指南》，</t>
    </r>
    <r>
      <rPr>
        <sz val="10"/>
        <rFont val="Arial"/>
        <family val="0"/>
        <charset val="1"/>
      </rPr>
      <t xml:space="preserve">(</t>
    </r>
    <r>
      <rPr>
        <sz val="10"/>
        <rFont val="WenQuanYi Zen Hei"/>
        <family val="2"/>
      </rPr>
      <t xml:space="preserve">美</t>
    </r>
    <r>
      <rPr>
        <sz val="10"/>
        <rFont val="Arial"/>
        <family val="0"/>
        <charset val="1"/>
      </rPr>
      <t xml:space="preserve">)W. Ben Kibler</t>
    </r>
    <r>
      <rPr>
        <sz val="10"/>
        <rFont val="WenQuanYi Zen Hei"/>
        <family val="2"/>
      </rPr>
      <t xml:space="preserve">、</t>
    </r>
    <r>
      <rPr>
        <sz val="10"/>
        <rFont val="Arial"/>
        <family val="0"/>
        <charset val="1"/>
      </rPr>
      <t xml:space="preserve">Aaron D. Sciascia </t>
    </r>
    <r>
      <rPr>
        <sz val="10"/>
        <rFont val="WenQuanYi Zen Hei"/>
        <family val="2"/>
      </rPr>
      <t xml:space="preserve">主编，王芗斌、何红晨 译，电子工业出版社 </t>
    </r>
    <r>
      <rPr>
        <sz val="10"/>
        <rFont val="Arial"/>
        <family val="0"/>
        <charset val="1"/>
      </rPr>
      <t xml:space="preserve">2022</t>
    </r>
    <r>
      <rPr>
        <sz val="10"/>
        <rFont val="WenQuanYi Zen Hei"/>
        <family val="2"/>
      </rPr>
      <t xml:space="preserve">，</t>
    </r>
    <r>
      <rPr>
        <sz val="10"/>
        <rFont val="Arial"/>
        <family val="0"/>
        <charset val="1"/>
      </rPr>
      <t xml:space="preserve">ISBN 978-7-121-42355-0</t>
    </r>
  </si>
  <si>
    <t xml:space="preserve">Hip Joint Restoration</t>
  </si>
  <si>
    <t xml:space="preserve">Worldwide Advances in Arthroscopy, Arthroplasty, Osteotomy and Joint Preservation Surgery</t>
  </si>
  <si>
    <t xml:space="preserve">髋关节重建：关节镜、关节置换、截骨及保髋手术的全球进展</t>
  </si>
  <si>
    <t xml:space="preserve">10.1007/978-1-4614-0694-5</t>
  </si>
  <si>
    <t xml:space="preserve">https://link.springer.com/book/10.1007/978-1-4614-0694-5</t>
  </si>
  <si>
    <r>
      <rPr>
        <sz val="10"/>
        <rFont val="WenQuanYi Zen Hei"/>
        <family val="2"/>
      </rPr>
      <t xml:space="preserve">《髋关节修复：关节镜、关节置换、截骨与保髋手术国际新进展》，李众利、李春宝、徐雁 译，中国科学技术出版社 </t>
    </r>
    <r>
      <rPr>
        <sz val="10"/>
        <rFont val="Arial"/>
        <family val="0"/>
        <charset val="1"/>
      </rPr>
      <t xml:space="preserve">2022</t>
    </r>
    <r>
      <rPr>
        <sz val="10"/>
        <rFont val="WenQuanYi Zen Hei"/>
        <family val="2"/>
      </rPr>
      <t xml:space="preserve">，</t>
    </r>
    <r>
      <rPr>
        <sz val="10"/>
        <rFont val="Arial"/>
        <family val="0"/>
        <charset val="1"/>
      </rPr>
      <t xml:space="preserve">ISBN 978-7-5046-9275-7</t>
    </r>
  </si>
  <si>
    <t xml:space="preserve">Osteoporosis in Orthopedics</t>
  </si>
  <si>
    <t xml:space="preserve">Assessment and Therapeutic Options</t>
  </si>
  <si>
    <t xml:space="preserve">骨科中的骨质疏松：评估与治疗选择</t>
  </si>
  <si>
    <t xml:space="preserve">10.1007/978-4-431-55778-4</t>
  </si>
  <si>
    <t xml:space="preserve">https://link.springer.com/book/10.1007/978-4-431-55778-4</t>
  </si>
  <si>
    <t xml:space="preserve">Imaging in Sports-Specific Musculoskeletal Injuries</t>
  </si>
  <si>
    <t xml:space="preserve">不同运动项目相关肌肉骨骼损伤的影像学</t>
  </si>
  <si>
    <t xml:space="preserve">10.1007/978-3-319-14307-1</t>
  </si>
  <si>
    <t xml:space="preserve">https://link.springer.com/book/10.1007/978-3-319-14307-1</t>
  </si>
  <si>
    <t xml:space="preserve">Fingertip Injuries</t>
  </si>
  <si>
    <t xml:space="preserve">Diagnosis, Management and Reconstruction</t>
  </si>
  <si>
    <t xml:space="preserve">指尖损伤：诊断、治疗与重建</t>
  </si>
  <si>
    <t xml:space="preserve">10.1007/978-3-319-13227-3</t>
  </si>
  <si>
    <t xml:space="preserve">https://link.springer.com/book/10.1007/978-3-319-13227-3</t>
  </si>
  <si>
    <t xml:space="preserve">Tennis Elbow</t>
  </si>
  <si>
    <t xml:space="preserve">Clinical Management</t>
  </si>
  <si>
    <t xml:space="preserve">网球肘：临床处理</t>
  </si>
  <si>
    <t xml:space="preserve">10.1007/978-1-4899-7534-8</t>
  </si>
  <si>
    <t xml:space="preserve">https://link.springer.com/book/10.1007/978-1-4899-7534-8</t>
  </si>
  <si>
    <t xml:space="preserve">Therapy of the Hand and Upper Extremity</t>
  </si>
  <si>
    <t xml:space="preserve">Rehabilitation Protocols</t>
  </si>
  <si>
    <t xml:space="preserve">手与上肢治疗：康复方案</t>
  </si>
  <si>
    <t xml:space="preserve">Scott F. M. Duncan, Christopher W. Flowers</t>
  </si>
  <si>
    <t xml:space="preserve">10.1007/978-3-319-14412-2</t>
  </si>
  <si>
    <t xml:space="preserve">https://link.springer.com/book/10.1007/978-3-319-14412-2</t>
  </si>
  <si>
    <t xml:space="preserve">Diagnosis, Non-Surgical Management, and Surgical Techniques</t>
  </si>
  <si>
    <t xml:space="preserve">脊椎滑脱：诊断、非手术治疗与手术技术</t>
  </si>
  <si>
    <t xml:space="preserve">10.1007/978-1-4899-7575-1</t>
  </si>
  <si>
    <t xml:space="preserve">https://link.springer.com/book/10.1007/978-1-4899-7575-1</t>
  </si>
  <si>
    <r>
      <rPr>
        <sz val="10"/>
        <rFont val="WenQuanYi Zen Hei"/>
        <family val="2"/>
      </rPr>
      <t xml:space="preserve">《脊柱滑脱：诊断与治疗》，</t>
    </r>
    <r>
      <rPr>
        <sz val="10"/>
        <rFont val="Arial"/>
        <family val="0"/>
        <charset val="1"/>
      </rPr>
      <t xml:space="preserve">Adam L. Wollowick</t>
    </r>
    <r>
      <rPr>
        <sz val="10"/>
        <rFont val="WenQuanYi Zen Hei"/>
        <family val="2"/>
      </rPr>
      <t xml:space="preserve">、</t>
    </r>
    <r>
      <rPr>
        <sz val="10"/>
        <rFont val="Arial"/>
        <family val="0"/>
        <charset val="1"/>
      </rPr>
      <t xml:space="preserve">Vishal Sarwahi </t>
    </r>
    <r>
      <rPr>
        <sz val="10"/>
        <rFont val="WenQuanYi Zen Hei"/>
        <family val="2"/>
      </rPr>
      <t xml:space="preserve">主编，李明、朱晓东、魏显招 主译，人民卫生出版社 </t>
    </r>
    <r>
      <rPr>
        <sz val="10"/>
        <rFont val="Arial"/>
        <family val="0"/>
        <charset val="1"/>
      </rPr>
      <t xml:space="preserve">2019</t>
    </r>
    <r>
      <rPr>
        <sz val="10"/>
        <rFont val="WenQuanYi Zen Hei"/>
        <family val="2"/>
      </rPr>
      <t xml:space="preserve">，</t>
    </r>
    <r>
      <rPr>
        <sz val="10"/>
        <rFont val="Arial"/>
        <family val="0"/>
        <charset val="1"/>
      </rPr>
      <t xml:space="preserve">ISBN 978-7-117-27964-2</t>
    </r>
    <r>
      <rPr>
        <sz val="10"/>
        <rFont val="WenQuanYi Zen Hei"/>
        <family val="2"/>
      </rPr>
      <t xml:space="preserve">（据本版第</t>
    </r>
    <r>
      <rPr>
        <sz val="10"/>
        <rFont val="Arial"/>
        <family val="0"/>
        <charset val="1"/>
      </rPr>
      <t xml:space="preserve">1</t>
    </r>
    <r>
      <rPr>
        <sz val="10"/>
        <rFont val="WenQuanYi Zen Hei"/>
        <family val="2"/>
      </rPr>
      <t xml:space="preserve">版译）</t>
    </r>
  </si>
  <si>
    <t xml:space="preserve">Posterior Cruciate Ligament Injuries</t>
  </si>
  <si>
    <t xml:space="preserve">A Practical Guide to Management (2nd ed.)</t>
  </si>
  <si>
    <r>
      <rPr>
        <sz val="10"/>
        <rFont val="WenQuanYi Zen Hei"/>
        <family val="2"/>
      </rPr>
      <t xml:space="preserve">后交叉韧带损伤：实用处理指南（第</t>
    </r>
    <r>
      <rPr>
        <sz val="10"/>
        <rFont val="Arial"/>
        <family val="0"/>
        <charset val="1"/>
      </rPr>
      <t xml:space="preserve">2</t>
    </r>
    <r>
      <rPr>
        <sz val="10"/>
        <rFont val="WenQuanYi Zen Hei"/>
        <family val="2"/>
      </rPr>
      <t xml:space="preserve">版）</t>
    </r>
  </si>
  <si>
    <t xml:space="preserve">10.1007/978-3-319-12072-0</t>
  </si>
  <si>
    <t xml:space="preserve">https://link.springer.com/book/10.1007/978-3-319-12072-0</t>
  </si>
  <si>
    <r>
      <rPr>
        <sz val="10"/>
        <rFont val="WenQuanYi Zen Hei"/>
        <family val="2"/>
      </rPr>
      <t xml:space="preserve">《后交叉韧带损伤：实用处理指南》，</t>
    </r>
    <r>
      <rPr>
        <sz val="10"/>
        <rFont val="Arial"/>
        <family val="0"/>
        <charset val="1"/>
      </rPr>
      <t xml:space="preserve">(</t>
    </r>
    <r>
      <rPr>
        <sz val="10"/>
        <rFont val="WenQuanYi Zen Hei"/>
        <family val="2"/>
      </rPr>
      <t xml:space="preserve">美</t>
    </r>
    <r>
      <rPr>
        <sz val="10"/>
        <rFont val="Arial"/>
        <family val="0"/>
        <charset val="1"/>
      </rPr>
      <t xml:space="preserve">)Gregory C. Fanelli </t>
    </r>
    <r>
      <rPr>
        <sz val="10"/>
        <rFont val="WenQuanYi Zen Hei"/>
        <family val="2"/>
      </rPr>
      <t xml:space="preserve">主编，王洪 主译，辽宁科学技术出版社 </t>
    </r>
    <r>
      <rPr>
        <sz val="10"/>
        <rFont val="Arial"/>
        <family val="0"/>
        <charset val="1"/>
      </rPr>
      <t xml:space="preserve">2016</t>
    </r>
    <r>
      <rPr>
        <sz val="10"/>
        <rFont val="WenQuanYi Zen Hei"/>
        <family val="2"/>
      </rPr>
      <t xml:space="preserve">，</t>
    </r>
    <r>
      <rPr>
        <sz val="10"/>
        <rFont val="Arial"/>
        <family val="0"/>
        <charset val="1"/>
      </rPr>
      <t xml:space="preserve">ISBN 978-7-5381-9772-3</t>
    </r>
    <r>
      <rPr>
        <sz val="10"/>
        <rFont val="WenQuanYi Zen Hei"/>
        <family val="2"/>
      </rPr>
      <t xml:space="preserve">（译自原书第</t>
    </r>
    <r>
      <rPr>
        <sz val="10"/>
        <rFont val="Arial"/>
        <family val="0"/>
        <charset val="1"/>
      </rPr>
      <t xml:space="preserve">2</t>
    </r>
    <r>
      <rPr>
        <sz val="10"/>
        <rFont val="WenQuanYi Zen Hei"/>
        <family val="2"/>
      </rPr>
      <t xml:space="preserve">版）</t>
    </r>
  </si>
  <si>
    <t xml:space="preserve">Joint Surgery in the Adult Patient with Hemophilia</t>
  </si>
  <si>
    <t xml:space="preserve">成人血友病患者的关节手术</t>
  </si>
  <si>
    <t xml:space="preserve">10.1007/978-3-319-10780-6</t>
  </si>
  <si>
    <t xml:space="preserve">https://link.springer.com/book/10.1007/978-3-319-10780-6</t>
  </si>
  <si>
    <t xml:space="preserve">Extremity Replantation</t>
  </si>
  <si>
    <t xml:space="preserve">A Comprehensive Clinical Guide</t>
  </si>
  <si>
    <t xml:space="preserve">肢体再植：综合临床指南</t>
  </si>
  <si>
    <t xml:space="preserve">10.1007/978-1-4899-7516-4</t>
  </si>
  <si>
    <t xml:space="preserve">https://link.springer.com/book/10.1007/978-1-4899-7516-4</t>
  </si>
  <si>
    <t xml:space="preserve">Etiology and Management</t>
  </si>
  <si>
    <t xml:space="preserve">上肢先天性畸形：病因与治疗</t>
  </si>
  <si>
    <t xml:space="preserve">10.1007/978-1-4899-7504-1</t>
  </si>
  <si>
    <t xml:space="preserve">https://link.springer.com/book/10.1007/978-1-4899-7504-1</t>
  </si>
  <si>
    <t xml:space="preserve">A Practical Guide for Treating Children and Adults</t>
  </si>
  <si>
    <t xml:space="preserve">痉挛的神经外科治疗：儿童与成人实用指南</t>
  </si>
  <si>
    <t xml:space="preserve">Marc Sindou, George Georgoulis, Patrick Mertens</t>
  </si>
  <si>
    <t xml:space="preserve">10.1007/978-3-7091-1771-2</t>
  </si>
  <si>
    <t xml:space="preserve">https://link.springer.com/book/10.1007/978-3-7091-1771-2</t>
  </si>
  <si>
    <t xml:space="preserve">Deformity Correction in Total Knee Arthroplasty</t>
  </si>
  <si>
    <t xml:space="preserve">全膝关节置换术中的畸形矫正</t>
  </si>
  <si>
    <t xml:space="preserve">Arun B. Mullaji, Gautam M. Shetty</t>
  </si>
  <si>
    <t xml:space="preserve">10.1007/978-1-4939-0566-9</t>
  </si>
  <si>
    <t xml:space="preserve">https://link.springer.com/book/10.1007/978-1-4939-0566-9</t>
  </si>
  <si>
    <r>
      <rPr>
        <sz val="10"/>
        <rFont val="WenQuanYi Zen Hei"/>
        <family val="2"/>
      </rPr>
      <t xml:space="preserve">《人工全膝关节置换术中的畸形矫正》，</t>
    </r>
    <r>
      <rPr>
        <sz val="10"/>
        <rFont val="Arial"/>
        <family val="0"/>
        <charset val="1"/>
      </rPr>
      <t xml:space="preserve">(</t>
    </r>
    <r>
      <rPr>
        <sz val="10"/>
        <rFont val="WenQuanYi Zen Hei"/>
        <family val="2"/>
      </rPr>
      <t xml:space="preserve">印</t>
    </r>
    <r>
      <rPr>
        <sz val="10"/>
        <rFont val="Arial"/>
        <family val="0"/>
        <charset val="1"/>
      </rPr>
      <t xml:space="preserve">)Arun B. Mullaji</t>
    </r>
    <r>
      <rPr>
        <sz val="10"/>
        <rFont val="WenQuanYi Zen Hei"/>
        <family val="2"/>
      </rPr>
      <t xml:space="preserve">、</t>
    </r>
    <r>
      <rPr>
        <sz val="10"/>
        <rFont val="Arial"/>
        <family val="0"/>
        <charset val="1"/>
      </rPr>
      <t xml:space="preserve">Gautam M. Shetty </t>
    </r>
    <r>
      <rPr>
        <sz val="10"/>
        <rFont val="WenQuanYi Zen Hei"/>
        <family val="2"/>
      </rPr>
      <t xml:space="preserve">著，王万春、毛新展 译，湖南科学技术出版社 </t>
    </r>
    <r>
      <rPr>
        <sz val="10"/>
        <rFont val="Arial"/>
        <family val="0"/>
        <charset val="1"/>
      </rPr>
      <t xml:space="preserve">2017</t>
    </r>
    <r>
      <rPr>
        <sz val="10"/>
        <rFont val="WenQuanYi Zen Hei"/>
        <family val="2"/>
      </rPr>
      <t xml:space="preserve">，</t>
    </r>
    <r>
      <rPr>
        <sz val="10"/>
        <rFont val="Arial"/>
        <family val="0"/>
        <charset val="1"/>
      </rPr>
      <t xml:space="preserve">ISBN 978-7-5357-9294-5</t>
    </r>
  </si>
  <si>
    <t xml:space="preserve">The Patellofemoral Joint in the Athlete</t>
  </si>
  <si>
    <t xml:space="preserve">运动员髌股关节</t>
  </si>
  <si>
    <t xml:space="preserve">10.1007/978-1-4614-4157-1</t>
  </si>
  <si>
    <t xml:space="preserve">https://link.springer.com/book/10.1007/978-1-4614-4157-1</t>
  </si>
  <si>
    <t xml:space="preserve">Platelet-Rich Plasma</t>
  </si>
  <si>
    <t xml:space="preserve">Regenerative Medicine: Sports Medicine, Orthopedic, and Recovery of Musculoskeletal Injuries</t>
  </si>
  <si>
    <t xml:space="preserve">富血小板血浆：再生医学——运动医学、骨科与肌肉骨骼损伤修复</t>
  </si>
  <si>
    <t xml:space="preserve">Lecture Notes in Bioengineering</t>
  </si>
  <si>
    <t xml:space="preserve">10.1007/978-3-642-40117-6</t>
  </si>
  <si>
    <t xml:space="preserve">https://link.springer.com/book/10.1007/978-3-642-40117-6</t>
  </si>
  <si>
    <t xml:space="preserve">Causes, Impacts, and Conditioning Programs</t>
  </si>
  <si>
    <t xml:space="preserve">女性运动员前交叉韧带损伤：病因、影响与体能训练方案</t>
  </si>
  <si>
    <t xml:space="preserve">10.1007/978-3-642-32592-2</t>
  </si>
  <si>
    <t xml:space="preserve">https://link.springer.com/book/10.1007/978-3-642-32592-2</t>
  </si>
  <si>
    <t xml:space="preserve">Nearly a million anterior cruciate ligament (ACL) injuries occur each year worldwide, causing long-term problems in the knee joint. This textbook examines the short- and long-term impacts of ACL injuries on the basis of hundreds of published studies. Risk factors for such injuries are explored using</t>
  </si>
  <si>
    <t xml:space="preserve">Orthopedic Sports Medicine</t>
  </si>
  <si>
    <t xml:space="preserve">骨科运动医学：原理与实践</t>
  </si>
  <si>
    <t xml:space="preserve">10.1007/978-88-470-1702-3</t>
  </si>
  <si>
    <t xml:space="preserve">https://link.springer.com/book/10.1007/978-88-470-1702-3</t>
  </si>
  <si>
    <t xml:space="preserve">Shoulder Instability</t>
  </si>
  <si>
    <t xml:space="preserve">Alternative Surgical Techniques</t>
  </si>
  <si>
    <t xml:space="preserve">肩关节不稳：其他可选手术技术</t>
  </si>
  <si>
    <t xml:space="preserve">10.1007/978-88-470-2035-1</t>
  </si>
  <si>
    <t xml:space="preserve">https://link.springer.com/book/10.1007/978-88-470-2035-1</t>
  </si>
  <si>
    <t xml:space="preserve">Minimally Invasive Surgery in Total Hip Arthroplasty</t>
  </si>
  <si>
    <t xml:space="preserve">全髋关节置换术中的微创手术</t>
  </si>
  <si>
    <t xml:space="preserve">10.1007/978-3-642-00897-9</t>
  </si>
  <si>
    <t xml:space="preserve">https://link.springer.com/book/10.1007/978-3-642-00897-9</t>
  </si>
  <si>
    <r>
      <rPr>
        <sz val="10"/>
        <rFont val="WenQuanYi Zen Hei"/>
        <family val="2"/>
      </rPr>
      <t xml:space="preserve">《微创全髋关节置换手术》，</t>
    </r>
    <r>
      <rPr>
        <sz val="10"/>
        <rFont val="Arial"/>
        <family val="0"/>
        <charset val="1"/>
      </rPr>
      <t xml:space="preserve">(</t>
    </r>
    <r>
      <rPr>
        <sz val="10"/>
        <rFont val="WenQuanYi Zen Hei"/>
        <family val="2"/>
      </rPr>
      <t xml:space="preserve">德</t>
    </r>
    <r>
      <rPr>
        <sz val="10"/>
        <rFont val="Arial"/>
        <family val="0"/>
        <charset val="1"/>
      </rPr>
      <t xml:space="preserve">)Joachim Pfeil </t>
    </r>
    <r>
      <rPr>
        <sz val="10"/>
        <rFont val="WenQuanYi Zen Hei"/>
        <family val="2"/>
      </rPr>
      <t xml:space="preserve">等 著，黄宁庆 等 译，天津科技翻译出版有限公司 </t>
    </r>
    <r>
      <rPr>
        <sz val="10"/>
        <rFont val="Arial"/>
        <family val="0"/>
        <charset val="1"/>
      </rPr>
      <t xml:space="preserve">2013</t>
    </r>
    <r>
      <rPr>
        <sz val="10"/>
        <rFont val="WenQuanYi Zen Hei"/>
        <family val="2"/>
      </rPr>
      <t xml:space="preserve">，</t>
    </r>
    <r>
      <rPr>
        <sz val="10"/>
        <rFont val="Arial"/>
        <family val="0"/>
        <charset val="1"/>
      </rPr>
      <t xml:space="preserve">ISBN 978-7-5433-3221-8</t>
    </r>
  </si>
  <si>
    <t xml:space="preserve">Flexible Intramedullary Nailing in Children</t>
  </si>
  <si>
    <t xml:space="preserve">The Nancy University Manual</t>
  </si>
  <si>
    <t xml:space="preserve">儿童弹性髓内钉固定：南锡大学手册</t>
  </si>
  <si>
    <t xml:space="preserve">10.1007/978-3-642-03031-4</t>
  </si>
  <si>
    <t xml:space="preserve">https://link.springer.com/book/10.1007/978-3-642-03031-4</t>
  </si>
  <si>
    <t xml:space="preserve">Orthopedic Surgery in Patients with Hemophilia</t>
  </si>
  <si>
    <t xml:space="preserve">血友病患者的骨科手术</t>
  </si>
  <si>
    <t xml:space="preserve">10.1007/978-88-470-0854-0</t>
  </si>
  <si>
    <t xml:space="preserve">https://link.springer.com/book/10.1007/978-88-470-0854-0</t>
  </si>
  <si>
    <t xml:space="preserve">Casebook of Orthopedic Rehabilitation</t>
  </si>
  <si>
    <t xml:space="preserve">Including Virtual Reality</t>
  </si>
  <si>
    <t xml:space="preserve">骨科康复病例集（含虚拟现实应用）</t>
  </si>
  <si>
    <t xml:space="preserve">David Ip</t>
  </si>
  <si>
    <t xml:space="preserve">10.1007/978-3-540-74427-6</t>
  </si>
  <si>
    <t xml:space="preserve">https://link.springer.com/book/10.1007/978-3-540-74427-6</t>
  </si>
  <si>
    <r>
      <rPr>
        <sz val="10"/>
        <rFont val="WenQuanYi Zen Hei"/>
        <family val="2"/>
      </rPr>
      <t xml:space="preserve">作者 </t>
    </r>
    <r>
      <rPr>
        <sz val="10"/>
        <rFont val="Arial"/>
        <family val="0"/>
        <charset val="1"/>
      </rPr>
      <t xml:space="preserve">David Ip </t>
    </r>
    <r>
      <rPr>
        <sz val="10"/>
        <rFont val="WenQuanYi Zen Hei"/>
        <family val="2"/>
      </rPr>
      <t xml:space="preserve">为香港骨科医生，原著为英文</t>
    </r>
  </si>
  <si>
    <t xml:space="preserve">Includes supplementary material: sn.pub/extras / As the name implies, this “casebook” contains a series of clinical cases on various topics in orthopedic rehabilitation that the author encountered over his 23 years of practice ranging from the extremely common co- ditions like knee arthritis, to newer technologies evolved in the recent years inclu</t>
  </si>
  <si>
    <t xml:space="preserve">Essential Physical Medicine and Rehabilitation</t>
  </si>
  <si>
    <t xml:space="preserve">物理医学与康复精要</t>
  </si>
  <si>
    <t xml:space="preserve">Musculoskeletal Medicine</t>
  </si>
  <si>
    <t xml:space="preserve">10.1007/978-1-59745-100-0</t>
  </si>
  <si>
    <t xml:space="preserve">https://link.springer.com/book/10.1007/978-1-59745-100-0</t>
  </si>
  <si>
    <t xml:space="preserve">Orthopedic Rehabilitation, Assessment, and Enablement</t>
  </si>
  <si>
    <t xml:space="preserve">骨科康复、评估与功能赋能</t>
  </si>
  <si>
    <t xml:space="preserve">10.1007/978-3-540-37694-1</t>
  </si>
  <si>
    <t xml:space="preserve">https://link.springer.com/book/10.1007/978-3-540-37694-1</t>
  </si>
  <si>
    <t xml:space="preserve">Orthopedic Traumatology - A Resident's Guide</t>
  </si>
  <si>
    <t xml:space="preserve">骨科创伤学：住院医师指南</t>
  </si>
  <si>
    <t xml:space="preserve">10.1007/3-540-29066-4</t>
  </si>
  <si>
    <t xml:space="preserve">https://link.springer.com/book/10.1007/3-540-29066-4</t>
  </si>
  <si>
    <t xml:space="preserve">Primary Knee Arthroplasty</t>
  </si>
  <si>
    <t xml:space="preserve">初次膝关节置换术</t>
  </si>
  <si>
    <t xml:space="preserve">10.1007/978-3-642-18816-9</t>
  </si>
  <si>
    <t xml:space="preserve">https://link.springer.com/book/10.1007/978-3-642-18816-9</t>
  </si>
  <si>
    <t xml:space="preserve">ACL Made Simple</t>
  </si>
  <si>
    <t xml:space="preserve">前交叉韧带简明教程</t>
  </si>
  <si>
    <t xml:space="preserve">Don Johnson</t>
  </si>
  <si>
    <t xml:space="preserve">10.1007/b97311</t>
  </si>
  <si>
    <t xml:space="preserve">https://link.springer.com/book/10.1007/b97311</t>
  </si>
  <si>
    <t xml:space="preserve">A CD-ROM keyed to each chapter complements the text and makes it easy for users to locate sections of particular interest. The numerous graphics and narrated video clips are dynamic tools that highlight topics including the mechanism of injury, physical examination, and surgical techniques.</t>
  </si>
  <si>
    <t xml:space="preserve">Clinical Evaluation and Management of Spasticity</t>
  </si>
  <si>
    <t xml:space="preserve">痉挛的临床评估与处理</t>
  </si>
  <si>
    <t xml:space="preserve">David A. Gelber, Douglas R. Jeffery (eds.)</t>
  </si>
  <si>
    <t xml:space="preserve">Current Clinical Neurology</t>
  </si>
  <si>
    <t xml:space="preserve">10.1007/978-1-59259-092-6</t>
  </si>
  <si>
    <t xml:space="preserve">https://link.springer.com/book/10.1007/978-1-59259-092-6</t>
  </si>
  <si>
    <t xml:space="preserve">Hip Fractures</t>
  </si>
  <si>
    <t xml:space="preserve">A Practical Guide to Management</t>
  </si>
  <si>
    <t xml:space="preserve">髋部骨折：实用处理指南</t>
  </si>
  <si>
    <t xml:space="preserve">Kenneth J. Koval, Joseph D. Zuckerman</t>
  </si>
  <si>
    <t xml:space="preserve">10.1007/978-1-4757-4052-3</t>
  </si>
  <si>
    <t xml:space="preserve">https://link.springer.com/book/10.1007/978-1-4757-4052-3</t>
  </si>
  <si>
    <r>
      <rPr>
        <b val="true"/>
        <sz val="11"/>
        <rFont val="Arial"/>
        <family val="0"/>
        <charset val="1"/>
      </rPr>
      <t xml:space="preserve">Springer Nature Link </t>
    </r>
    <r>
      <rPr>
        <b val="true"/>
        <sz val="11"/>
        <rFont val="WenQuanYi Zen Hei"/>
        <family val="2"/>
      </rPr>
      <t xml:space="preserve">检索：</t>
    </r>
    <r>
      <rPr>
        <b val="true"/>
        <sz val="11"/>
        <rFont val="Arial"/>
        <family val="0"/>
        <charset val="1"/>
      </rPr>
      <t xml:space="preserve">"Orthopedic Rehabilitation"</t>
    </r>
    <r>
      <rPr>
        <b val="true"/>
        <sz val="11"/>
        <rFont val="WenQuanYi Zen Hei"/>
        <family val="2"/>
      </rPr>
      <t xml:space="preserve">，内容类型</t>
    </r>
    <r>
      <rPr>
        <b val="true"/>
        <sz val="11"/>
        <rFont val="Arial"/>
        <family val="0"/>
        <charset val="1"/>
      </rPr>
      <t xml:space="preserve">=Book</t>
    </r>
    <r>
      <rPr>
        <b val="true"/>
        <sz val="11"/>
        <rFont val="WenQuanYi Zen Hei"/>
        <family val="2"/>
      </rPr>
      <t xml:space="preserve">，按相关度排序，共 </t>
    </r>
    <r>
      <rPr>
        <b val="true"/>
        <sz val="11"/>
        <rFont val="Arial"/>
        <family val="0"/>
        <charset val="1"/>
      </rPr>
      <t xml:space="preserve">109 </t>
    </r>
    <r>
      <rPr>
        <b val="true"/>
        <sz val="11"/>
        <rFont val="WenQuanYi Zen Hei"/>
        <family val="2"/>
      </rPr>
      <t xml:space="preserve">条（检索日期 </t>
    </r>
    <r>
      <rPr>
        <b val="true"/>
        <sz val="11"/>
        <rFont val="Arial"/>
        <family val="0"/>
        <charset val="1"/>
      </rPr>
      <t xml:space="preserve">2026-10-08</t>
    </r>
    <r>
      <rPr>
        <b val="true"/>
        <sz val="11"/>
        <rFont val="WenQuanYi Zen Hei"/>
        <family val="2"/>
      </rPr>
      <t xml:space="preserve">）</t>
    </r>
  </si>
  <si>
    <r>
      <rPr>
        <i val="true"/>
        <sz val="9"/>
        <color rgb="FF666666"/>
        <rFont val="WenQuanYi Zen Hei"/>
        <family val="2"/>
      </rPr>
      <t xml:space="preserve">注：主题分类与相关度为根据书名</t>
    </r>
    <r>
      <rPr>
        <i val="true"/>
        <sz val="9"/>
        <color rgb="FF666666"/>
        <rFont val="Arial"/>
        <family val="0"/>
        <charset val="1"/>
      </rPr>
      <t xml:space="preserve">/</t>
    </r>
    <r>
      <rPr>
        <i val="true"/>
        <sz val="9"/>
        <color rgb="FF666666"/>
        <rFont val="WenQuanYi Zen Hei"/>
        <family val="2"/>
      </rPr>
      <t xml:space="preserve">简介人工判断；作者栏仅含检索结果页显示的作者，编著类图书在页面上不显示编者故留空。</t>
    </r>
  </si>
  <si>
    <r>
      <rPr>
        <i val="true"/>
        <sz val="9"/>
        <color rgb="FF666666"/>
        <rFont val="WenQuanYi Zen Hei"/>
        <family val="2"/>
      </rPr>
      <t xml:space="preserve">注</t>
    </r>
    <r>
      <rPr>
        <i val="true"/>
        <sz val="9"/>
        <color rgb="FF666666"/>
        <rFont val="Arial"/>
        <family val="0"/>
        <charset val="1"/>
      </rPr>
      <t xml:space="preserve">2</t>
    </r>
    <r>
      <rPr>
        <i val="true"/>
        <sz val="9"/>
        <color rgb="FF666666"/>
        <rFont val="WenQuanYi Zen Hei"/>
        <family val="2"/>
      </rPr>
      <t xml:space="preserve">：中文书名为人工翻译；“是否有中译本”通过网络书目（出版社、高校图书馆</t>
    </r>
    <r>
      <rPr>
        <i val="true"/>
        <sz val="9"/>
        <color rgb="FF666666"/>
        <rFont val="Arial"/>
        <family val="0"/>
        <charset val="1"/>
      </rPr>
      <t xml:space="preserve">OPAC</t>
    </r>
    <r>
      <rPr>
        <i val="true"/>
        <sz val="9"/>
        <color rgb="FF666666"/>
        <rFont val="WenQuanYi Zen Hei"/>
        <family val="2"/>
      </rPr>
      <t xml:space="preserve">、豆瓣、当当、浙江新华书目等）检索判定，“未检索到”不等于确定没有译本。“（本版）”表示其他版本有中译本、本版没有，详见备注列。</t>
    </r>
  </si>
  <si>
    <r>
      <rPr>
        <i val="true"/>
        <sz val="9"/>
        <color rgb="FF666666"/>
        <rFont val="WenQuanYi Zen Hei"/>
        <family val="2"/>
      </rPr>
      <t xml:space="preserve">注</t>
    </r>
    <r>
      <rPr>
        <i val="true"/>
        <sz val="9"/>
        <color rgb="FF666666"/>
        <rFont val="Arial"/>
        <family val="0"/>
        <charset val="1"/>
      </rPr>
      <t xml:space="preserve">3</t>
    </r>
    <r>
      <rPr>
        <i val="true"/>
        <sz val="9"/>
        <color rgb="FF666666"/>
        <rFont val="WenQuanYi Zen Hei"/>
        <family val="2"/>
      </rPr>
      <t xml:space="preserve">：官网附加资源统计方法：逐一打开 </t>
    </r>
    <r>
      <rPr>
        <i val="true"/>
        <sz val="9"/>
        <color rgb="FF666666"/>
        <rFont val="Arial"/>
        <family val="0"/>
        <charset val="1"/>
      </rPr>
      <t xml:space="preserve">Springer Link </t>
    </r>
    <r>
      <rPr>
        <i val="true"/>
        <sz val="9"/>
        <color rgb="FF666666"/>
        <rFont val="WenQuanYi Zen Hei"/>
        <family val="2"/>
      </rPr>
      <t xml:space="preserve">上每本书全部章节页，统计“</t>
    </r>
    <r>
      <rPr>
        <i val="true"/>
        <sz val="9"/>
        <color rgb="FF666666"/>
        <rFont val="Arial"/>
        <family val="0"/>
        <charset val="1"/>
      </rPr>
      <t xml:space="preserve">Electronic Supplementary Material”</t>
    </r>
    <r>
      <rPr>
        <i val="true"/>
        <sz val="9"/>
        <color rgb="FF666666"/>
        <rFont val="WenQuanYi Zen Hei"/>
        <family val="2"/>
      </rPr>
      <t xml:space="preserve">中的视频及其他文件数量（</t>
    </r>
    <r>
      <rPr>
        <i val="true"/>
        <sz val="9"/>
        <color rgb="FF666666"/>
        <rFont val="Arial"/>
        <family val="0"/>
        <charset val="1"/>
      </rPr>
      <t xml:space="preserve">2026-10-08 </t>
    </r>
    <r>
      <rPr>
        <i val="true"/>
        <sz val="9"/>
        <color rgb="FF666666"/>
        <rFont val="WenQuanYi Zen Hei"/>
        <family val="2"/>
      </rPr>
      <t xml:space="preserve">扫描）。参考工具书只统计目录页列出的条目；“章节未上线</t>
    </r>
    <r>
      <rPr>
        <i val="true"/>
        <sz val="9"/>
        <color rgb="FF666666"/>
        <rFont val="Arial"/>
        <family val="0"/>
        <charset val="1"/>
      </rPr>
      <t xml:space="preserve">/</t>
    </r>
    <r>
      <rPr>
        <i val="true"/>
        <sz val="9"/>
        <color rgb="FF666666"/>
        <rFont val="WenQuanYi Zen Hei"/>
        <family val="2"/>
      </rPr>
      <t xml:space="preserve">无法核查”指官网暂无章节页面（未出版或旧版目录结构不同）。</t>
    </r>
  </si>
  <si>
    <r>
      <rPr>
        <i val="true"/>
        <sz val="9"/>
        <color rgb="FF666666"/>
        <rFont val="WenQuanYi Zen Hei"/>
        <family val="2"/>
      </rPr>
      <t xml:space="preserve">注</t>
    </r>
    <r>
      <rPr>
        <i val="true"/>
        <sz val="9"/>
        <color rgb="FF666666"/>
        <rFont val="Arial"/>
        <family val="0"/>
        <charset val="1"/>
      </rPr>
      <t xml:space="preserve">4</t>
    </r>
    <r>
      <rPr>
        <i val="true"/>
        <sz val="9"/>
        <color rgb="FF666666"/>
        <rFont val="WenQuanYi Zen Hei"/>
        <family val="2"/>
      </rPr>
      <t xml:space="preserve">：附加资源一般需要机构订阅或购买后才能在线观看或下载。</t>
    </r>
  </si>
  <si>
    <t xml:space="preserve">按相关度</t>
  </si>
  <si>
    <t xml:space="preserve">类别</t>
  </si>
  <si>
    <t xml:space="preserve">数量</t>
  </si>
  <si>
    <t xml:space="preserve">合计</t>
  </si>
  <si>
    <t xml:space="preserve">按是否有中译本</t>
  </si>
  <si>
    <t xml:space="preserve">按官网附加资源</t>
  </si>
  <si>
    <r>
      <rPr>
        <sz val="11"/>
        <rFont val="WenQuanYi Zen Hei"/>
        <family val="2"/>
      </rPr>
      <t xml:space="preserve">视频</t>
    </r>
    <r>
      <rPr>
        <sz val="11"/>
        <rFont val="Arial"/>
        <family val="0"/>
        <charset val="1"/>
      </rPr>
      <t xml:space="preserve">+</t>
    </r>
    <r>
      <rPr>
        <sz val="11"/>
        <rFont val="WenQuanYi Zen Hei"/>
        <family val="2"/>
      </rPr>
      <t xml:space="preserve">补充文件</t>
    </r>
  </si>
  <si>
    <t xml:space="preserve">有补充文件</t>
  </si>
  <si>
    <r>
      <rPr>
        <sz val="11"/>
        <rFont val="WenQuanYi Zen Hei"/>
        <family val="2"/>
      </rPr>
      <t xml:space="preserve">章节未上线</t>
    </r>
    <r>
      <rPr>
        <sz val="11"/>
        <rFont val="Arial"/>
        <family val="0"/>
        <charset val="1"/>
      </rPr>
      <t xml:space="preserve">/</t>
    </r>
    <r>
      <rPr>
        <sz val="11"/>
        <rFont val="WenQuanYi Zen Hei"/>
        <family val="2"/>
      </rPr>
      <t xml:space="preserve">无法核查</t>
    </r>
  </si>
  <si>
    <t xml:space="preserve">按类型</t>
  </si>
  <si>
    <t xml:space="preserve">按主题</t>
  </si>
  <si>
    <r>
      <rPr>
        <sz val="11"/>
        <rFont val="WenQuanYi Zen Hei"/>
        <family val="2"/>
      </rPr>
      <t xml:space="preserve">手</t>
    </r>
    <r>
      <rPr>
        <sz val="11"/>
        <rFont val="Arial"/>
        <family val="0"/>
        <charset val="1"/>
      </rPr>
      <t xml:space="preserve">/</t>
    </r>
    <r>
      <rPr>
        <sz val="11"/>
        <rFont val="WenQuanYi Zen Hei"/>
        <family val="2"/>
      </rPr>
      <t xml:space="preserve">上肢</t>
    </r>
  </si>
  <si>
    <r>
      <rPr>
        <sz val="11"/>
        <rFont val="WenQuanYi Zen Hei"/>
        <family val="2"/>
      </rPr>
      <t xml:space="preserve">膝</t>
    </r>
    <r>
      <rPr>
        <sz val="11"/>
        <rFont val="Arial"/>
        <family val="0"/>
        <charset val="1"/>
      </rPr>
      <t xml:space="preserve">/ACL</t>
    </r>
  </si>
  <si>
    <r>
      <rPr>
        <sz val="11"/>
        <rFont val="WenQuanYi Zen Hei"/>
        <family val="2"/>
      </rPr>
      <t xml:space="preserve">影像</t>
    </r>
    <r>
      <rPr>
        <sz val="11"/>
        <rFont val="Arial"/>
        <family val="0"/>
        <charset val="1"/>
      </rPr>
      <t xml:space="preserve">/</t>
    </r>
    <r>
      <rPr>
        <sz val="11"/>
        <rFont val="WenQuanYi Zen Hei"/>
        <family val="2"/>
      </rPr>
      <t xml:space="preserve">超声</t>
    </r>
  </si>
  <si>
    <r>
      <rPr>
        <sz val="11"/>
        <rFont val="WenQuanYi Zen Hei"/>
        <family val="2"/>
      </rPr>
      <t xml:space="preserve">康复技术</t>
    </r>
    <r>
      <rPr>
        <sz val="11"/>
        <rFont val="Arial"/>
        <family val="0"/>
        <charset val="1"/>
      </rPr>
      <t xml:space="preserve">/</t>
    </r>
    <r>
      <rPr>
        <sz val="11"/>
        <rFont val="WenQuanYi Zen Hei"/>
        <family val="2"/>
      </rPr>
      <t xml:space="preserve">远程康复</t>
    </r>
  </si>
  <si>
    <r>
      <rPr>
        <sz val="11"/>
        <rFont val="WenQuanYi Zen Hei"/>
        <family val="2"/>
      </rPr>
      <t xml:space="preserve">脊柱</t>
    </r>
    <r>
      <rPr>
        <sz val="11"/>
        <rFont val="Arial"/>
        <family val="0"/>
        <charset val="1"/>
      </rPr>
      <t xml:space="preserve">/</t>
    </r>
    <r>
      <rPr>
        <sz val="11"/>
        <rFont val="WenQuanYi Zen Hei"/>
        <family val="2"/>
      </rPr>
      <t xml:space="preserve">脊髓</t>
    </r>
  </si>
  <si>
    <r>
      <rPr>
        <sz val="11"/>
        <rFont val="WenQuanYi Zen Hei"/>
        <family val="2"/>
      </rPr>
      <t xml:space="preserve">脊柱</t>
    </r>
    <r>
      <rPr>
        <sz val="11"/>
        <rFont val="Arial"/>
        <family val="0"/>
        <charset val="1"/>
      </rPr>
      <t xml:space="preserve">/</t>
    </r>
    <r>
      <rPr>
        <sz val="11"/>
        <rFont val="WenQuanYi Zen Hei"/>
        <family val="2"/>
      </rPr>
      <t xml:space="preserve">腰痛</t>
    </r>
  </si>
  <si>
    <r>
      <rPr>
        <sz val="11"/>
        <rFont val="WenQuanYi Zen Hei"/>
        <family val="2"/>
      </rPr>
      <t xml:space="preserve">肩</t>
    </r>
    <r>
      <rPr>
        <sz val="11"/>
        <rFont val="Arial"/>
        <family val="0"/>
        <charset val="1"/>
      </rPr>
      <t xml:space="preserve">/</t>
    </r>
    <r>
      <rPr>
        <sz val="11"/>
        <rFont val="WenQuanYi Zen Hei"/>
        <family val="2"/>
      </rPr>
      <t xml:space="preserve">肘</t>
    </r>
  </si>
  <si>
    <r>
      <rPr>
        <sz val="11"/>
        <rFont val="WenQuanYi Zen Hei"/>
        <family val="2"/>
      </rPr>
      <t xml:space="preserve">足</t>
    </r>
    <r>
      <rPr>
        <sz val="11"/>
        <rFont val="Arial"/>
        <family val="0"/>
        <charset val="1"/>
      </rPr>
      <t xml:space="preserve">/</t>
    </r>
    <r>
      <rPr>
        <sz val="11"/>
        <rFont val="WenQuanYi Zen Hei"/>
        <family val="2"/>
      </rPr>
      <t xml:space="preserve">踝</t>
    </r>
  </si>
  <si>
    <r>
      <rPr>
        <sz val="11"/>
        <rFont val="WenQuanYi Zen Hei"/>
        <family val="2"/>
      </rPr>
      <t xml:space="preserve">骨肿瘤</t>
    </r>
    <r>
      <rPr>
        <sz val="11"/>
        <rFont val="Arial"/>
        <family val="0"/>
        <charset val="1"/>
      </rPr>
      <t xml:space="preserve">/</t>
    </r>
    <r>
      <rPr>
        <sz val="11"/>
        <rFont val="WenQuanYi Zen Hei"/>
        <family val="2"/>
      </rPr>
      <t xml:space="preserve">截肢</t>
    </r>
  </si>
  <si>
    <r>
      <rPr>
        <sz val="11"/>
        <rFont val="WenQuanYi Zen Hei"/>
        <family val="2"/>
      </rPr>
      <t xml:space="preserve">神经</t>
    </r>
    <r>
      <rPr>
        <sz val="11"/>
        <rFont val="Arial"/>
        <family val="0"/>
        <charset val="1"/>
      </rPr>
      <t xml:space="preserve">/</t>
    </r>
    <r>
      <rPr>
        <sz val="11"/>
        <rFont val="WenQuanYi Zen Hei"/>
        <family val="2"/>
      </rPr>
      <t xml:space="preserve">痉挛</t>
    </r>
  </si>
  <si>
    <r>
      <rPr>
        <sz val="11"/>
        <rFont val="WenQuanYi Zen Hei"/>
        <family val="2"/>
      </rPr>
      <t xml:space="preserve">风湿</t>
    </r>
    <r>
      <rPr>
        <sz val="11"/>
        <rFont val="Arial"/>
        <family val="0"/>
        <charset val="1"/>
      </rPr>
      <t xml:space="preserve">/</t>
    </r>
    <r>
      <rPr>
        <sz val="11"/>
        <rFont val="WenQuanYi Zen Hei"/>
        <family val="2"/>
      </rPr>
      <t xml:space="preserve">血友病</t>
    </r>
  </si>
  <si>
    <r>
      <rPr>
        <sz val="11"/>
        <rFont val="WenQuanYi Zen Hei"/>
        <family val="2"/>
      </rPr>
      <t xml:space="preserve">创伤</t>
    </r>
    <r>
      <rPr>
        <sz val="11"/>
        <rFont val="Arial"/>
        <family val="0"/>
        <charset val="1"/>
      </rPr>
      <t xml:space="preserve">/</t>
    </r>
    <r>
      <rPr>
        <sz val="11"/>
        <rFont val="WenQuanYi Zen Hei"/>
        <family val="2"/>
      </rPr>
      <t xml:space="preserve">骨折</t>
    </r>
  </si>
  <si>
    <t xml:space="preserve">按出版年代</t>
  </si>
  <si>
    <t xml:space="preserve">年代</t>
  </si>
  <si>
    <t xml:space="preserve">2000–2009</t>
  </si>
  <si>
    <t xml:space="preserve">2010–2019</t>
  </si>
  <si>
    <t xml:space="preserve">2020–2027</t>
  </si>
</sst>
</file>

<file path=xl/styles.xml><?xml version="1.0" encoding="utf-8"?>
<styleSheet xmlns="http://schemas.openxmlformats.org/spreadsheetml/2006/main">
  <numFmts count="1">
    <numFmt numFmtId="164" formatCode="General"/>
  </numFmts>
  <fonts count="17">
    <font>
      <sz val="11"/>
      <color theme="1"/>
      <name val="Calibri"/>
      <family val="2"/>
      <charset val="1"/>
    </font>
    <font>
      <sz val="10"/>
      <name val="Arial"/>
      <family val="0"/>
    </font>
    <font>
      <sz val="10"/>
      <name val="Arial"/>
      <family val="0"/>
    </font>
    <font>
      <sz val="10"/>
      <name val="Arial"/>
      <family val="0"/>
    </font>
    <font>
      <b val="true"/>
      <sz val="11"/>
      <color rgb="FFFFFFFF"/>
      <name val="WenQuanYi Zen Hei"/>
      <family val="2"/>
    </font>
    <font>
      <b val="true"/>
      <sz val="11"/>
      <color rgb="FFFFFFFF"/>
      <name val="Arial"/>
      <family val="0"/>
      <charset val="1"/>
    </font>
    <font>
      <sz val="10"/>
      <name val="Arial"/>
      <family val="0"/>
      <charset val="1"/>
    </font>
    <font>
      <sz val="10"/>
      <name val="WenQuanYi Zen Hei"/>
      <family val="2"/>
    </font>
    <font>
      <u val="single"/>
      <sz val="11"/>
      <color rgb="FF0563C1"/>
      <name val="Arial"/>
      <family val="0"/>
      <charset val="1"/>
    </font>
    <font>
      <b val="true"/>
      <sz val="10"/>
      <name val="WenQuanYi Zen Hei"/>
      <family val="2"/>
    </font>
    <font>
      <b val="true"/>
      <sz val="10"/>
      <name val="Arial"/>
      <family val="0"/>
      <charset val="1"/>
    </font>
    <font>
      <b val="true"/>
      <sz val="11"/>
      <name val="Arial"/>
      <family val="0"/>
      <charset val="1"/>
    </font>
    <font>
      <b val="true"/>
      <sz val="11"/>
      <name val="WenQuanYi Zen Hei"/>
      <family val="2"/>
    </font>
    <font>
      <i val="true"/>
      <sz val="9"/>
      <color rgb="FF666666"/>
      <name val="WenQuanYi Zen Hei"/>
      <family val="2"/>
    </font>
    <font>
      <i val="true"/>
      <sz val="9"/>
      <color rgb="FF666666"/>
      <name val="Arial"/>
      <family val="0"/>
      <charset val="1"/>
    </font>
    <font>
      <sz val="11"/>
      <name val="WenQuanYi Zen Hei"/>
      <family val="2"/>
    </font>
    <font>
      <sz val="11"/>
      <name val="Arial"/>
      <family val="0"/>
      <charset val="1"/>
    </font>
  </fonts>
  <fills count="7">
    <fill>
      <patternFill patternType="none"/>
    </fill>
    <fill>
      <patternFill patternType="gray125"/>
    </fill>
    <fill>
      <patternFill patternType="solid">
        <fgColor rgb="FF1F4E78"/>
        <bgColor rgb="FF003366"/>
      </patternFill>
    </fill>
    <fill>
      <patternFill patternType="solid">
        <fgColor rgb="FFC6EFCE"/>
        <bgColor rgb="FFDDEBF7"/>
      </patternFill>
    </fill>
    <fill>
      <patternFill patternType="solid">
        <fgColor rgb="FFDDEBF7"/>
        <bgColor rgb="FFF2F2F2"/>
      </patternFill>
    </fill>
    <fill>
      <patternFill patternType="solid">
        <fgColor rgb="FFFFEB9C"/>
        <bgColor rgb="FFFFCC99"/>
      </patternFill>
    </fill>
    <fill>
      <patternFill patternType="solid">
        <fgColor rgb="FFF2F2F2"/>
        <bgColor rgb="FFDDEBF7"/>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4" fontId="5" fillId="2" borderId="1" xfId="0" applyFont="true" applyBorder="true" applyAlignment="true" applyProtection="false">
      <alignment horizontal="center" vertical="center" textRotation="0" wrapText="true" indent="0" shrinkToFit="false"/>
      <protection locked="true" hidden="false"/>
    </xf>
    <xf numFmtId="164" fontId="6" fillId="0" borderId="1" xfId="0" applyFont="true" applyBorder="tru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center" vertical="top" textRotation="0" wrapText="false" indent="0" shrinkToFit="false"/>
      <protection locked="true" hidden="false"/>
    </xf>
    <xf numFmtId="164" fontId="9" fillId="3" borderId="1" xfId="0" applyFont="true" applyBorder="true" applyAlignment="true" applyProtection="false">
      <alignment horizontal="general" vertical="top" textRotation="0" wrapText="false" indent="0" shrinkToFit="false"/>
      <protection locked="true" hidden="false"/>
    </xf>
    <xf numFmtId="164" fontId="9" fillId="4"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center" vertical="top" textRotation="0" wrapText="false" indent="0" shrinkToFit="false"/>
      <protection locked="true" hidden="false"/>
    </xf>
    <xf numFmtId="164" fontId="7" fillId="6" borderId="1" xfId="0" applyFont="true" applyBorder="true" applyAlignment="true" applyProtection="false">
      <alignment horizontal="center" vertical="top"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
      <fill>
        <patternFill patternType="solid">
          <fgColor rgb="FF0563C1"/>
          <bgColor rgb="FF000000"/>
        </patternFill>
      </fill>
    </dxf>
    <dxf>
      <fill>
        <patternFill patternType="solid">
          <fgColor rgb="FFC6EFCE"/>
          <bgColor rgb="FF000000"/>
        </patternFill>
      </fill>
    </dxf>
    <dxf>
      <fill>
        <patternFill patternType="solid">
          <fgColor rgb="FFF2F2F2"/>
          <bgColor rgb="FF000000"/>
        </patternFill>
      </fill>
    </dxf>
    <dxf>
      <fill>
        <patternFill patternType="solid">
          <fgColor rgb="FFFFEB9C"/>
          <bgColor rgb="FF000000"/>
        </patternFill>
      </fill>
    </dxf>
    <dxf>
      <fill>
        <patternFill patternType="solid">
          <fgColor rgb="FFDDEBF7"/>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DD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C99"/>
      <rgbColor rgb="FF3366FF"/>
      <rgbColor rgb="FF33CCCC"/>
      <rgbColor rgb="FF99CC00"/>
      <rgbColor rgb="FFFFCC00"/>
      <rgbColor rgb="FFFF9900"/>
      <rgbColor rgb="FFFF6600"/>
      <rgbColor rgb="FF666666"/>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link.springer.com/book/10.1007/978-3-031-32026-2" TargetMode="External"/><Relationship Id="rId2" Type="http://schemas.openxmlformats.org/officeDocument/2006/relationships/hyperlink" Target="https://link.springer.com/book/10.1007/978-3-031-92008-0" TargetMode="External"/><Relationship Id="rId3" Type="http://schemas.openxmlformats.org/officeDocument/2006/relationships/hyperlink" Target="https://link.springer.com/book/10.1007/978-3-031-84501-7" TargetMode="External"/><Relationship Id="rId4" Type="http://schemas.openxmlformats.org/officeDocument/2006/relationships/hyperlink" Target="https://link.springer.com/book/10.1007/978-3-031-81037-4" TargetMode="External"/><Relationship Id="rId5" Type="http://schemas.openxmlformats.org/officeDocument/2006/relationships/hyperlink" Target="https://link.springer.com/book/10.1007/978-3-031-69080-8" TargetMode="External"/><Relationship Id="rId6" Type="http://schemas.openxmlformats.org/officeDocument/2006/relationships/hyperlink" Target="https://link.springer.com/book/10.1007/978-3-031-20987-1" TargetMode="External"/><Relationship Id="rId7" Type="http://schemas.openxmlformats.org/officeDocument/2006/relationships/hyperlink" Target="https://link.springer.com/book/9783032369543" TargetMode="External"/><Relationship Id="rId8" Type="http://schemas.openxmlformats.org/officeDocument/2006/relationships/hyperlink" Target="https://link.springer.com/book/10.1007/978-3-031-29430-3" TargetMode="External"/><Relationship Id="rId9" Type="http://schemas.openxmlformats.org/officeDocument/2006/relationships/hyperlink" Target="https://link.springer.com/book/10.1007/978-981-19-0228-4" TargetMode="External"/><Relationship Id="rId10" Type="http://schemas.openxmlformats.org/officeDocument/2006/relationships/hyperlink" Target="https://link.springer.com/book/10.1007/978-3-032-07519-2" TargetMode="External"/><Relationship Id="rId11" Type="http://schemas.openxmlformats.org/officeDocument/2006/relationships/hyperlink" Target="https://link.springer.com/book/10.1007/978-981-97-1484-1" TargetMode="External"/><Relationship Id="rId12" Type="http://schemas.openxmlformats.org/officeDocument/2006/relationships/hyperlink" Target="https://link.springer.com/book/10.1007/978-981-97-2461-1" TargetMode="External"/><Relationship Id="rId13" Type="http://schemas.openxmlformats.org/officeDocument/2006/relationships/hyperlink" Target="https://link.springer.com/book/10.1007/978-3-031-59160-0" TargetMode="External"/><Relationship Id="rId14" Type="http://schemas.openxmlformats.org/officeDocument/2006/relationships/hyperlink" Target="https://link.springer.com/book/10.1007/978-3-031-86558-9" TargetMode="External"/><Relationship Id="rId15" Type="http://schemas.openxmlformats.org/officeDocument/2006/relationships/hyperlink" Target="https://link.springer.com/book/10.1007/978-3-030-87003-4" TargetMode="External"/><Relationship Id="rId16" Type="http://schemas.openxmlformats.org/officeDocument/2006/relationships/hyperlink" Target="https://link.springer.com/book/9789819738762" TargetMode="External"/><Relationship Id="rId17" Type="http://schemas.openxmlformats.org/officeDocument/2006/relationships/hyperlink" Target="https://link.springer.com/book/10.1007/978-981-19-7884-5" TargetMode="External"/><Relationship Id="rId18" Type="http://schemas.openxmlformats.org/officeDocument/2006/relationships/hyperlink" Target="https://link.springer.com/book/10.1007/978-981-19-7761-9" TargetMode="External"/><Relationship Id="rId19" Type="http://schemas.openxmlformats.org/officeDocument/2006/relationships/hyperlink" Target="https://link.springer.com/book/10.1007/978-981-97-4087-1" TargetMode="External"/><Relationship Id="rId20" Type="http://schemas.openxmlformats.org/officeDocument/2006/relationships/hyperlink" Target="https://link.springer.com/book/10.1007/978-3-031-45594-0" TargetMode="External"/><Relationship Id="rId21" Type="http://schemas.openxmlformats.org/officeDocument/2006/relationships/hyperlink" Target="https://link.springer.com/book/10.1007/978-3-031-78534-4" TargetMode="External"/><Relationship Id="rId22" Type="http://schemas.openxmlformats.org/officeDocument/2006/relationships/hyperlink" Target="https://link.springer.com/book/10.1007/978-3-030-98791-6" TargetMode="External"/><Relationship Id="rId23" Type="http://schemas.openxmlformats.org/officeDocument/2006/relationships/hyperlink" Target="https://link.springer.com/book/10.1007/978-981-99-2575-9" TargetMode="External"/><Relationship Id="rId24" Type="http://schemas.openxmlformats.org/officeDocument/2006/relationships/hyperlink" Target="https://link.springer.com/book/10.1007/978-3-030-66352-0" TargetMode="External"/><Relationship Id="rId25" Type="http://schemas.openxmlformats.org/officeDocument/2006/relationships/hyperlink" Target="https://link.springer.com/book/10.1007/978-3-031-08682-3" TargetMode="External"/><Relationship Id="rId26" Type="http://schemas.openxmlformats.org/officeDocument/2006/relationships/hyperlink" Target="https://link.springer.com/book/10.1007/978-3-031-04406-9" TargetMode="External"/><Relationship Id="rId27" Type="http://schemas.openxmlformats.org/officeDocument/2006/relationships/hyperlink" Target="https://link.springer.com/book/10.1007/978-3-031-32072-9" TargetMode="External"/><Relationship Id="rId28" Type="http://schemas.openxmlformats.org/officeDocument/2006/relationships/hyperlink" Target="https://link.springer.com/book/10.1007/978-3-030-82869-1" TargetMode="External"/><Relationship Id="rId29" Type="http://schemas.openxmlformats.org/officeDocument/2006/relationships/hyperlink" Target="https://link.springer.com/book/10.1007/978-3-031-27253-0" TargetMode="External"/><Relationship Id="rId30" Type="http://schemas.openxmlformats.org/officeDocument/2006/relationships/hyperlink" Target="https://link.springer.com/book/10.1007/978-981-19-9612-2" TargetMode="External"/><Relationship Id="rId31" Type="http://schemas.openxmlformats.org/officeDocument/2006/relationships/hyperlink" Target="https://link.springer.com/book/10.1007/978-3-030-92717-2" TargetMode="External"/><Relationship Id="rId32" Type="http://schemas.openxmlformats.org/officeDocument/2006/relationships/hyperlink" Target="https://link.springer.com/book/10.1007/978-3-030-94702-6" TargetMode="External"/><Relationship Id="rId33" Type="http://schemas.openxmlformats.org/officeDocument/2006/relationships/hyperlink" Target="https://link.springer.com/book/10.1007/978-3-031-05002-2" TargetMode="External"/><Relationship Id="rId34" Type="http://schemas.openxmlformats.org/officeDocument/2006/relationships/hyperlink" Target="https://link.springer.com/book/10.1007/978-3-030-93990-8" TargetMode="External"/><Relationship Id="rId35" Type="http://schemas.openxmlformats.org/officeDocument/2006/relationships/hyperlink" Target="https://link.springer.com/book/10.1007/978-3-030-46574-2" TargetMode="External"/><Relationship Id="rId36" Type="http://schemas.openxmlformats.org/officeDocument/2006/relationships/hyperlink" Target="https://link.springer.com/book/10.1007/978-981-16-3488-8" TargetMode="External"/><Relationship Id="rId37" Type="http://schemas.openxmlformats.org/officeDocument/2006/relationships/hyperlink" Target="https://link.springer.com/book/10.1007/978-3-030-78969-5" TargetMode="External"/><Relationship Id="rId38" Type="http://schemas.openxmlformats.org/officeDocument/2006/relationships/hyperlink" Target="https://link.springer.com/book/10.1007/978-3-030-79481-1" TargetMode="External"/><Relationship Id="rId39" Type="http://schemas.openxmlformats.org/officeDocument/2006/relationships/hyperlink" Target="https://link.springer.com/book/10.1007/978-3-030-84950-4" TargetMode="External"/><Relationship Id="rId40" Type="http://schemas.openxmlformats.org/officeDocument/2006/relationships/hyperlink" Target="https://link.springer.com/book/10.1007/978-3-030-60746-3" TargetMode="External"/><Relationship Id="rId41" Type="http://schemas.openxmlformats.org/officeDocument/2006/relationships/hyperlink" Target="https://link.springer.com/book/10.1007/978-3-030-69567-5" TargetMode="External"/><Relationship Id="rId42" Type="http://schemas.openxmlformats.org/officeDocument/2006/relationships/hyperlink" Target="https://link.springer.com/book/10.1007/978-3-030-65335-4" TargetMode="External"/><Relationship Id="rId43" Type="http://schemas.openxmlformats.org/officeDocument/2006/relationships/hyperlink" Target="https://link.springer.com/book/10.1007/978-3-030-56025-6" TargetMode="External"/><Relationship Id="rId44" Type="http://schemas.openxmlformats.org/officeDocument/2006/relationships/hyperlink" Target="https://link.springer.com/book/10.1007/978-3-030-63019-5" TargetMode="External"/><Relationship Id="rId45" Type="http://schemas.openxmlformats.org/officeDocument/2006/relationships/hyperlink" Target="https://link.springer.com/book/10.1007/978-3-030-64159-7" TargetMode="External"/><Relationship Id="rId46" Type="http://schemas.openxmlformats.org/officeDocument/2006/relationships/hyperlink" Target="https://link.springer.com/book/10.1007/978-3-030-73610-1" TargetMode="External"/><Relationship Id="rId47" Type="http://schemas.openxmlformats.org/officeDocument/2006/relationships/hyperlink" Target="https://link.springer.com/book/10.1007/978-981-10-7033-4" TargetMode="External"/><Relationship Id="rId48" Type="http://schemas.openxmlformats.org/officeDocument/2006/relationships/hyperlink" Target="https://link.springer.com/book/10.1007/978-3-030-56670-8" TargetMode="External"/><Relationship Id="rId49" Type="http://schemas.openxmlformats.org/officeDocument/2006/relationships/hyperlink" Target="https://link.springer.com/book/10.1007/978-3-030-44492-1" TargetMode="External"/><Relationship Id="rId50" Type="http://schemas.openxmlformats.org/officeDocument/2006/relationships/hyperlink" Target="https://link.springer.com/book/10.1007/978-3-030-40655-4" TargetMode="External"/><Relationship Id="rId51" Type="http://schemas.openxmlformats.org/officeDocument/2006/relationships/hyperlink" Target="https://link.springer.com/book/10.1007/978-3-030-46646-6" TargetMode="External"/><Relationship Id="rId52" Type="http://schemas.openxmlformats.org/officeDocument/2006/relationships/hyperlink" Target="https://link.springer.com/book/10.1007/978-3-030-42771-9" TargetMode="External"/><Relationship Id="rId53" Type="http://schemas.openxmlformats.org/officeDocument/2006/relationships/hyperlink" Target="https://link.springer.com/book/10.1007/978-3-030-14455-5" TargetMode="External"/><Relationship Id="rId54" Type="http://schemas.openxmlformats.org/officeDocument/2006/relationships/hyperlink" Target="https://link.springer.com/book/10.1007/978-3-030-24773-7" TargetMode="External"/><Relationship Id="rId55" Type="http://schemas.openxmlformats.org/officeDocument/2006/relationships/hyperlink" Target="https://link.springer.com/book/10.1007/978-3-030-29231-7" TargetMode="External"/><Relationship Id="rId56" Type="http://schemas.openxmlformats.org/officeDocument/2006/relationships/hyperlink" Target="https://link.springer.com/book/10.1007/978-3-319-78387-1" TargetMode="External"/><Relationship Id="rId57" Type="http://schemas.openxmlformats.org/officeDocument/2006/relationships/hyperlink" Target="https://link.springer.com/book/10.1007/978-3-030-20925-4" TargetMode="External"/><Relationship Id="rId58" Type="http://schemas.openxmlformats.org/officeDocument/2006/relationships/hyperlink" Target="https://link.springer.com/book/10.1007/978-3-319-95708-1" TargetMode="External"/><Relationship Id="rId59" Type="http://schemas.openxmlformats.org/officeDocument/2006/relationships/hyperlink" Target="https://link.springer.com/book/10.1007/978-3-030-13290-3" TargetMode="External"/><Relationship Id="rId60" Type="http://schemas.openxmlformats.org/officeDocument/2006/relationships/hyperlink" Target="https://link.springer.com/book/10.1007/978-3-030-26207-5" TargetMode="External"/><Relationship Id="rId61" Type="http://schemas.openxmlformats.org/officeDocument/2006/relationships/hyperlink" Target="https://link.springer.com/book/10.1007/978-3-030-22361-8" TargetMode="External"/><Relationship Id="rId62" Type="http://schemas.openxmlformats.org/officeDocument/2006/relationships/hyperlink" Target="https://link.springer.com/book/10.1007/978-3-030-14171-4" TargetMode="External"/><Relationship Id="rId63" Type="http://schemas.openxmlformats.org/officeDocument/2006/relationships/hyperlink" Target="https://link.springer.com/book/10.1007/978-3-319-71498-1" TargetMode="External"/><Relationship Id="rId64" Type="http://schemas.openxmlformats.org/officeDocument/2006/relationships/hyperlink" Target="https://link.springer.com/book/10.1007/978-3-030-12775-6" TargetMode="External"/><Relationship Id="rId65" Type="http://schemas.openxmlformats.org/officeDocument/2006/relationships/hyperlink" Target="https://link.springer.com/book/10.1007/978-3-030-14778-5" TargetMode="External"/><Relationship Id="rId66" Type="http://schemas.openxmlformats.org/officeDocument/2006/relationships/hyperlink" Target="https://link.springer.com/book/10.1007/978-3-030-05396-3" TargetMode="External"/><Relationship Id="rId67" Type="http://schemas.openxmlformats.org/officeDocument/2006/relationships/hyperlink" Target="https://link.springer.com/book/10.1007/978-981-13-1807-8" TargetMode="External"/><Relationship Id="rId68" Type="http://schemas.openxmlformats.org/officeDocument/2006/relationships/hyperlink" Target="https://link.springer.com/book/10.1007/978-3-030-05538-7" TargetMode="External"/><Relationship Id="rId69" Type="http://schemas.openxmlformats.org/officeDocument/2006/relationships/hyperlink" Target="https://link.springer.com/book/10.1007/978-3-319-77152-6" TargetMode="External"/><Relationship Id="rId70" Type="http://schemas.openxmlformats.org/officeDocument/2006/relationships/hyperlink" Target="https://link.springer.com/book/10.1007/978-3-319-72228-3" TargetMode="External"/><Relationship Id="rId71" Type="http://schemas.openxmlformats.org/officeDocument/2006/relationships/hyperlink" Target="https://link.springer.com/book/10.1007/978-3-662-56558-2" TargetMode="External"/><Relationship Id="rId72" Type="http://schemas.openxmlformats.org/officeDocument/2006/relationships/hyperlink" Target="https://link.springer.com/book/10.1007/978-3-319-27805-6" TargetMode="External"/><Relationship Id="rId73" Type="http://schemas.openxmlformats.org/officeDocument/2006/relationships/hyperlink" Target="https://link.springer.com/book/10.1007/978-3-319-74672-2" TargetMode="External"/><Relationship Id="rId74" Type="http://schemas.openxmlformats.org/officeDocument/2006/relationships/hyperlink" Target="https://link.springer.com/book/10.1007/978-3-662-49149-2" TargetMode="External"/><Relationship Id="rId75" Type="http://schemas.openxmlformats.org/officeDocument/2006/relationships/hyperlink" Target="https://link.springer.com/book/10.1007/978-3-319-64771-5" TargetMode="External"/><Relationship Id="rId76" Type="http://schemas.openxmlformats.org/officeDocument/2006/relationships/hyperlink" Target="https://link.springer.com/book/10.1007/978-3-319-72880-3" TargetMode="External"/><Relationship Id="rId77" Type="http://schemas.openxmlformats.org/officeDocument/2006/relationships/hyperlink" Target="https://link.springer.com/book/10.1007/978-3-319-61946-0" TargetMode="External"/><Relationship Id="rId78" Type="http://schemas.openxmlformats.org/officeDocument/2006/relationships/hyperlink" Target="https://link.springer.com/book/10.1007/978-3-319-40178-2" TargetMode="External"/><Relationship Id="rId79" Type="http://schemas.openxmlformats.org/officeDocument/2006/relationships/hyperlink" Target="https://link.springer.com/book/10.1007/978-3-319-55047-3" TargetMode="External"/><Relationship Id="rId80" Type="http://schemas.openxmlformats.org/officeDocument/2006/relationships/hyperlink" Target="https://link.springer.com/book/10.1007/978-3-319-53584-5" TargetMode="External"/><Relationship Id="rId81" Type="http://schemas.openxmlformats.org/officeDocument/2006/relationships/hyperlink" Target="https://link.springer.com/book/10.1007/978-1-4614-0694-5" TargetMode="External"/><Relationship Id="rId82" Type="http://schemas.openxmlformats.org/officeDocument/2006/relationships/hyperlink" Target="https://link.springer.com/book/10.1007/978-4-431-55778-4" TargetMode="External"/><Relationship Id="rId83" Type="http://schemas.openxmlformats.org/officeDocument/2006/relationships/hyperlink" Target="https://link.springer.com/book/10.1007/978-3-319-14307-1" TargetMode="External"/><Relationship Id="rId84" Type="http://schemas.openxmlformats.org/officeDocument/2006/relationships/hyperlink" Target="https://link.springer.com/book/10.1007/978-3-319-13227-3" TargetMode="External"/><Relationship Id="rId85" Type="http://schemas.openxmlformats.org/officeDocument/2006/relationships/hyperlink" Target="https://link.springer.com/book/10.1007/978-1-4899-7534-8" TargetMode="External"/><Relationship Id="rId86" Type="http://schemas.openxmlformats.org/officeDocument/2006/relationships/hyperlink" Target="https://link.springer.com/book/10.1007/978-3-319-14412-2" TargetMode="External"/><Relationship Id="rId87" Type="http://schemas.openxmlformats.org/officeDocument/2006/relationships/hyperlink" Target="https://link.springer.com/book/10.1007/978-1-4899-7575-1" TargetMode="External"/><Relationship Id="rId88" Type="http://schemas.openxmlformats.org/officeDocument/2006/relationships/hyperlink" Target="https://link.springer.com/book/10.1007/978-3-319-12072-0" TargetMode="External"/><Relationship Id="rId89" Type="http://schemas.openxmlformats.org/officeDocument/2006/relationships/hyperlink" Target="https://link.springer.com/book/10.1007/978-3-319-10780-6" TargetMode="External"/><Relationship Id="rId90" Type="http://schemas.openxmlformats.org/officeDocument/2006/relationships/hyperlink" Target="https://link.springer.com/book/10.1007/978-1-4899-7516-4" TargetMode="External"/><Relationship Id="rId91" Type="http://schemas.openxmlformats.org/officeDocument/2006/relationships/hyperlink" Target="https://link.springer.com/book/10.1007/978-1-4899-7504-1" TargetMode="External"/><Relationship Id="rId92" Type="http://schemas.openxmlformats.org/officeDocument/2006/relationships/hyperlink" Target="https://link.springer.com/book/10.1007/978-3-7091-1771-2" TargetMode="External"/><Relationship Id="rId93" Type="http://schemas.openxmlformats.org/officeDocument/2006/relationships/hyperlink" Target="https://link.springer.com/book/10.1007/978-1-4939-0566-9" TargetMode="External"/><Relationship Id="rId94" Type="http://schemas.openxmlformats.org/officeDocument/2006/relationships/hyperlink" Target="https://link.springer.com/book/10.1007/978-1-4614-4157-1" TargetMode="External"/><Relationship Id="rId95" Type="http://schemas.openxmlformats.org/officeDocument/2006/relationships/hyperlink" Target="https://link.springer.com/book/10.1007/978-3-642-40117-6" TargetMode="External"/><Relationship Id="rId96" Type="http://schemas.openxmlformats.org/officeDocument/2006/relationships/hyperlink" Target="https://link.springer.com/book/10.1007/978-3-642-32592-2" TargetMode="External"/><Relationship Id="rId97" Type="http://schemas.openxmlformats.org/officeDocument/2006/relationships/hyperlink" Target="https://link.springer.com/book/10.1007/978-88-470-1702-3" TargetMode="External"/><Relationship Id="rId98" Type="http://schemas.openxmlformats.org/officeDocument/2006/relationships/hyperlink" Target="https://link.springer.com/book/10.1007/978-88-470-2035-1" TargetMode="External"/><Relationship Id="rId99" Type="http://schemas.openxmlformats.org/officeDocument/2006/relationships/hyperlink" Target="https://link.springer.com/book/10.1007/978-3-642-00897-9" TargetMode="External"/><Relationship Id="rId100" Type="http://schemas.openxmlformats.org/officeDocument/2006/relationships/hyperlink" Target="https://link.springer.com/book/10.1007/978-3-642-03031-4" TargetMode="External"/><Relationship Id="rId101" Type="http://schemas.openxmlformats.org/officeDocument/2006/relationships/hyperlink" Target="https://link.springer.com/book/10.1007/978-88-470-0854-0" TargetMode="External"/><Relationship Id="rId102" Type="http://schemas.openxmlformats.org/officeDocument/2006/relationships/hyperlink" Target="https://link.springer.com/book/10.1007/978-3-540-74427-6" TargetMode="External"/><Relationship Id="rId103" Type="http://schemas.openxmlformats.org/officeDocument/2006/relationships/hyperlink" Target="https://link.springer.com/book/10.1007/978-1-59745-100-0" TargetMode="External"/><Relationship Id="rId104" Type="http://schemas.openxmlformats.org/officeDocument/2006/relationships/hyperlink" Target="https://link.springer.com/book/10.1007/978-3-540-37694-1" TargetMode="External"/><Relationship Id="rId105" Type="http://schemas.openxmlformats.org/officeDocument/2006/relationships/hyperlink" Target="https://link.springer.com/book/10.1007/3-540-29066-4" TargetMode="External"/><Relationship Id="rId106" Type="http://schemas.openxmlformats.org/officeDocument/2006/relationships/hyperlink" Target="https://link.springer.com/book/10.1007/978-3-642-18816-9" TargetMode="External"/><Relationship Id="rId107" Type="http://schemas.openxmlformats.org/officeDocument/2006/relationships/hyperlink" Target="https://link.springer.com/book/10.1007/b97311" TargetMode="External"/><Relationship Id="rId108" Type="http://schemas.openxmlformats.org/officeDocument/2006/relationships/hyperlink" Target="https://link.springer.com/book/10.1007/978-1-59259-092-6" TargetMode="External"/><Relationship Id="rId109" Type="http://schemas.openxmlformats.org/officeDocument/2006/relationships/hyperlink" Target="https://link.springer.com/book/10.1007/978-1-4757-4052-3" TargetMode="External"/><Relationship Id="rId110"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11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40"/>
    <col collapsed="false" customWidth="true" hidden="false" outlineLevel="0" max="4" min="3" style="0" width="36"/>
    <col collapsed="false" customWidth="true" hidden="false" outlineLevel="0" max="5" min="5" style="0" width="12"/>
    <col collapsed="false" customWidth="true" hidden="false" outlineLevel="0" max="6" min="6" style="0" width="8"/>
    <col collapsed="false" customWidth="true" hidden="false" outlineLevel="0" max="7" min="7" style="0" width="26"/>
    <col collapsed="false" customWidth="true" hidden="false" outlineLevel="0" max="8" min="8" style="0" width="22"/>
    <col collapsed="false" customWidth="true" hidden="false" outlineLevel="0" max="9" min="9" style="0" width="28"/>
    <col collapsed="false" customWidth="true" hidden="false" outlineLevel="0" max="10" min="10" style="0" width="42"/>
    <col collapsed="false" customWidth="true" hidden="false" outlineLevel="0" max="11" min="11" style="0" width="14"/>
    <col collapsed="false" customWidth="true" hidden="false" outlineLevel="0" max="12" min="12" style="0" width="10"/>
    <col collapsed="false" customWidth="true" hidden="false" outlineLevel="0" max="13" min="13" style="0" width="14"/>
    <col collapsed="false" customWidth="true" hidden="false" outlineLevel="0" max="14" min="14" style="0" width="50"/>
    <col collapsed="false" customWidth="true" hidden="false" outlineLevel="0" max="15" min="15" style="0" width="14"/>
    <col collapsed="false" customWidth="true" hidden="false" outlineLevel="0" max="16" min="16" style="0" width="8"/>
    <col collapsed="false" customWidth="true" hidden="false" outlineLevel="0" max="19" min="17" style="0" width="10"/>
    <col collapsed="false" customWidth="true" hidden="false" outlineLevel="0" max="20" min="20" style="0" width="50"/>
  </cols>
  <sheetData>
    <row r="1" customFormat="false" ht="41.75" hidden="false" customHeight="false" outlineLevel="0" collapsed="false">
      <c r="A1" s="1" t="s">
        <v>0</v>
      </c>
      <c r="B1" s="1" t="s">
        <v>1</v>
      </c>
      <c r="C1" s="1" t="s">
        <v>2</v>
      </c>
      <c r="D1" s="1" t="s">
        <v>3</v>
      </c>
      <c r="E1" s="1" t="s">
        <v>4</v>
      </c>
      <c r="F1" s="1" t="s">
        <v>5</v>
      </c>
      <c r="G1" s="1" t="s">
        <v>6</v>
      </c>
      <c r="H1" s="1" t="s">
        <v>7</v>
      </c>
      <c r="I1" s="2" t="s">
        <v>8</v>
      </c>
      <c r="J1" s="1" t="s">
        <v>9</v>
      </c>
      <c r="K1" s="1" t="s">
        <v>10</v>
      </c>
      <c r="L1" s="1" t="s">
        <v>11</v>
      </c>
      <c r="M1" s="1" t="s">
        <v>12</v>
      </c>
      <c r="N1" s="1" t="s">
        <v>13</v>
      </c>
      <c r="O1" s="1" t="s">
        <v>14</v>
      </c>
      <c r="P1" s="1" t="s">
        <v>15</v>
      </c>
      <c r="Q1" s="1" t="s">
        <v>16</v>
      </c>
      <c r="R1" s="1" t="s">
        <v>17</v>
      </c>
      <c r="S1" s="1" t="s">
        <v>18</v>
      </c>
      <c r="T1" s="1" t="s">
        <v>19</v>
      </c>
    </row>
    <row r="2" customFormat="false" ht="39.55" hidden="false" customHeight="false" outlineLevel="0" collapsed="false">
      <c r="A2" s="3" t="n">
        <v>1</v>
      </c>
      <c r="B2" s="4" t="s">
        <v>20</v>
      </c>
      <c r="C2" s="4" t="s">
        <v>21</v>
      </c>
      <c r="D2" s="5" t="s">
        <v>22</v>
      </c>
      <c r="E2" s="6" t="s">
        <v>23</v>
      </c>
      <c r="F2" s="3" t="n">
        <v>2023</v>
      </c>
      <c r="G2" s="4"/>
      <c r="H2" s="4"/>
      <c r="I2" s="3" t="s">
        <v>24</v>
      </c>
      <c r="J2" s="7" t="s">
        <v>25</v>
      </c>
      <c r="K2" s="6" t="s">
        <v>26</v>
      </c>
      <c r="L2" s="8" t="s">
        <v>27</v>
      </c>
      <c r="M2" s="9" t="s">
        <v>28</v>
      </c>
      <c r="N2" s="5" t="s">
        <v>29</v>
      </c>
      <c r="O2" s="6" t="s">
        <v>30</v>
      </c>
      <c r="P2" s="3" t="n">
        <v>0</v>
      </c>
      <c r="Q2" s="3" t="n">
        <v>0</v>
      </c>
      <c r="R2" s="3" t="n">
        <v>0</v>
      </c>
      <c r="S2" s="3" t="n">
        <v>11</v>
      </c>
      <c r="T2" s="4"/>
    </row>
    <row r="3" customFormat="false" ht="23.85" hidden="false" customHeight="false" outlineLevel="0" collapsed="false">
      <c r="A3" s="3" t="n">
        <v>2</v>
      </c>
      <c r="B3" s="4" t="s">
        <v>31</v>
      </c>
      <c r="C3" s="4" t="s">
        <v>32</v>
      </c>
      <c r="D3" s="5" t="s">
        <v>33</v>
      </c>
      <c r="E3" s="6" t="s">
        <v>34</v>
      </c>
      <c r="F3" s="3" t="n">
        <v>2025</v>
      </c>
      <c r="G3" s="4"/>
      <c r="H3" s="4"/>
      <c r="I3" s="3" t="s">
        <v>35</v>
      </c>
      <c r="J3" s="7" t="s">
        <v>36</v>
      </c>
      <c r="K3" s="6" t="s">
        <v>37</v>
      </c>
      <c r="L3" s="8" t="s">
        <v>27</v>
      </c>
      <c r="M3" s="6" t="s">
        <v>38</v>
      </c>
      <c r="N3" s="4"/>
      <c r="O3" s="10" t="s">
        <v>39</v>
      </c>
      <c r="P3" s="3" t="n">
        <v>1</v>
      </c>
      <c r="Q3" s="3" t="n">
        <v>0</v>
      </c>
      <c r="R3" s="3" t="n">
        <v>1</v>
      </c>
      <c r="S3" s="3" t="n">
        <v>26</v>
      </c>
      <c r="T3" s="4"/>
    </row>
    <row r="4" customFormat="false" ht="23.85" hidden="false" customHeight="false" outlineLevel="0" collapsed="false">
      <c r="A4" s="3" t="n">
        <v>3</v>
      </c>
      <c r="B4" s="4" t="s">
        <v>40</v>
      </c>
      <c r="C4" s="4"/>
      <c r="D4" s="5" t="s">
        <v>41</v>
      </c>
      <c r="E4" s="6" t="s">
        <v>34</v>
      </c>
      <c r="F4" s="3" t="n">
        <v>2025</v>
      </c>
      <c r="G4" s="4"/>
      <c r="H4" s="4"/>
      <c r="I4" s="3" t="s">
        <v>42</v>
      </c>
      <c r="J4" s="7" t="s">
        <v>43</v>
      </c>
      <c r="K4" s="6" t="s">
        <v>44</v>
      </c>
      <c r="L4" s="11" t="s">
        <v>45</v>
      </c>
      <c r="M4" s="6" t="s">
        <v>38</v>
      </c>
      <c r="N4" s="4"/>
      <c r="O4" s="6" t="s">
        <v>30</v>
      </c>
      <c r="P4" s="3" t="n">
        <v>0</v>
      </c>
      <c r="Q4" s="3" t="n">
        <v>0</v>
      </c>
      <c r="R4" s="3" t="n">
        <v>0</v>
      </c>
      <c r="S4" s="3" t="n">
        <v>30</v>
      </c>
      <c r="T4" s="4"/>
    </row>
    <row r="5" customFormat="false" ht="102.2" hidden="false" customHeight="false" outlineLevel="0" collapsed="false">
      <c r="A5" s="3" t="n">
        <v>4</v>
      </c>
      <c r="B5" s="4" t="s">
        <v>46</v>
      </c>
      <c r="C5" s="4"/>
      <c r="D5" s="5" t="s">
        <v>47</v>
      </c>
      <c r="E5" s="6" t="s">
        <v>34</v>
      </c>
      <c r="F5" s="3" t="n">
        <v>2025</v>
      </c>
      <c r="G5" s="4"/>
      <c r="H5" s="4"/>
      <c r="I5" s="3" t="s">
        <v>48</v>
      </c>
      <c r="J5" s="7" t="s">
        <v>49</v>
      </c>
      <c r="K5" s="6" t="s">
        <v>50</v>
      </c>
      <c r="L5" s="12" t="s">
        <v>51</v>
      </c>
      <c r="M5" s="6" t="s">
        <v>38</v>
      </c>
      <c r="N5" s="4"/>
      <c r="O5" s="10" t="s">
        <v>39</v>
      </c>
      <c r="P5" s="3" t="n">
        <v>80</v>
      </c>
      <c r="Q5" s="3" t="n">
        <v>0</v>
      </c>
      <c r="R5" s="3" t="n">
        <v>7</v>
      </c>
      <c r="S5" s="3" t="n">
        <v>8</v>
      </c>
      <c r="T5" s="4" t="s">
        <v>52</v>
      </c>
    </row>
    <row r="6" customFormat="false" ht="15" hidden="false" customHeight="false" outlineLevel="0" collapsed="false">
      <c r="A6" s="3" t="n">
        <v>5</v>
      </c>
      <c r="B6" s="4" t="s">
        <v>53</v>
      </c>
      <c r="C6" s="4"/>
      <c r="D6" s="5" t="s">
        <v>54</v>
      </c>
      <c r="E6" s="6" t="s">
        <v>34</v>
      </c>
      <c r="F6" s="3" t="n">
        <v>2024</v>
      </c>
      <c r="G6" s="4"/>
      <c r="H6" s="4" t="s">
        <v>55</v>
      </c>
      <c r="I6" s="3" t="s">
        <v>56</v>
      </c>
      <c r="J6" s="7" t="s">
        <v>57</v>
      </c>
      <c r="K6" s="6" t="s">
        <v>58</v>
      </c>
      <c r="L6" s="11" t="s">
        <v>45</v>
      </c>
      <c r="M6" s="6" t="s">
        <v>38</v>
      </c>
      <c r="N6" s="4"/>
      <c r="O6" s="6" t="s">
        <v>30</v>
      </c>
      <c r="P6" s="3" t="n">
        <v>0</v>
      </c>
      <c r="Q6" s="3" t="n">
        <v>0</v>
      </c>
      <c r="R6" s="3" t="n">
        <v>0</v>
      </c>
      <c r="S6" s="3" t="n">
        <v>12</v>
      </c>
      <c r="T6" s="4"/>
    </row>
    <row r="7" customFormat="false" ht="15" hidden="false" customHeight="false" outlineLevel="0" collapsed="false">
      <c r="A7" s="3" t="n">
        <v>6</v>
      </c>
      <c r="B7" s="4" t="s">
        <v>59</v>
      </c>
      <c r="C7" s="4"/>
      <c r="D7" s="5" t="s">
        <v>60</v>
      </c>
      <c r="E7" s="6" t="s">
        <v>23</v>
      </c>
      <c r="F7" s="3" t="n">
        <v>2023</v>
      </c>
      <c r="G7" s="4"/>
      <c r="H7" s="4"/>
      <c r="I7" s="3" t="s">
        <v>61</v>
      </c>
      <c r="J7" s="7" t="s">
        <v>62</v>
      </c>
      <c r="K7" s="6" t="s">
        <v>26</v>
      </c>
      <c r="L7" s="11" t="s">
        <v>45</v>
      </c>
      <c r="M7" s="6" t="s">
        <v>38</v>
      </c>
      <c r="N7" s="4"/>
      <c r="O7" s="6" t="s">
        <v>30</v>
      </c>
      <c r="P7" s="3" t="n">
        <v>0</v>
      </c>
      <c r="Q7" s="3" t="n">
        <v>0</v>
      </c>
      <c r="R7" s="3" t="n">
        <v>0</v>
      </c>
      <c r="S7" s="3" t="n">
        <v>79</v>
      </c>
      <c r="T7" s="4"/>
    </row>
    <row r="8" customFormat="false" ht="102.2" hidden="false" customHeight="false" outlineLevel="0" collapsed="false">
      <c r="A8" s="3" t="n">
        <v>7</v>
      </c>
      <c r="B8" s="4" t="s">
        <v>63</v>
      </c>
      <c r="C8" s="4" t="s">
        <v>64</v>
      </c>
      <c r="D8" s="5" t="s">
        <v>65</v>
      </c>
      <c r="E8" s="6" t="s">
        <v>34</v>
      </c>
      <c r="F8" s="3" t="n">
        <v>2026</v>
      </c>
      <c r="G8" s="4"/>
      <c r="H8" s="4"/>
      <c r="I8" s="3" t="s">
        <v>66</v>
      </c>
      <c r="J8" s="7" t="s">
        <v>67</v>
      </c>
      <c r="K8" s="6" t="s">
        <v>68</v>
      </c>
      <c r="L8" s="12" t="s">
        <v>51</v>
      </c>
      <c r="M8" s="6" t="s">
        <v>38</v>
      </c>
      <c r="N8" s="4" t="s">
        <v>69</v>
      </c>
      <c r="O8" s="6" t="s">
        <v>70</v>
      </c>
      <c r="P8" s="3" t="n">
        <v>0</v>
      </c>
      <c r="Q8" s="3" t="n">
        <v>0</v>
      </c>
      <c r="R8" s="3" t="n">
        <v>0</v>
      </c>
      <c r="S8" s="3" t="n">
        <v>0</v>
      </c>
      <c r="T8" s="4" t="s">
        <v>71</v>
      </c>
    </row>
    <row r="9" customFormat="false" ht="23.85" hidden="false" customHeight="false" outlineLevel="0" collapsed="false">
      <c r="A9" s="3" t="n">
        <v>8</v>
      </c>
      <c r="B9" s="4" t="s">
        <v>72</v>
      </c>
      <c r="C9" s="4"/>
      <c r="D9" s="5" t="s">
        <v>73</v>
      </c>
      <c r="E9" s="6" t="s">
        <v>74</v>
      </c>
      <c r="F9" s="3" t="n">
        <v>2024</v>
      </c>
      <c r="G9" s="4"/>
      <c r="H9" s="4"/>
      <c r="I9" s="3" t="s">
        <v>75</v>
      </c>
      <c r="J9" s="7" t="s">
        <v>76</v>
      </c>
      <c r="K9" s="6" t="s">
        <v>44</v>
      </c>
      <c r="L9" s="11" t="s">
        <v>45</v>
      </c>
      <c r="M9" s="6" t="s">
        <v>38</v>
      </c>
      <c r="N9" s="4"/>
      <c r="O9" s="10" t="s">
        <v>77</v>
      </c>
      <c r="P9" s="3" t="n">
        <v>2</v>
      </c>
      <c r="Q9" s="3" t="n">
        <v>2</v>
      </c>
      <c r="R9" s="3" t="n">
        <v>4</v>
      </c>
      <c r="S9" s="3" t="n">
        <v>77</v>
      </c>
      <c r="T9" s="4"/>
    </row>
    <row r="10" customFormat="false" ht="26.85" hidden="false" customHeight="false" outlineLevel="0" collapsed="false">
      <c r="A10" s="3" t="n">
        <v>9</v>
      </c>
      <c r="B10" s="4" t="s">
        <v>78</v>
      </c>
      <c r="C10" s="4" t="s">
        <v>79</v>
      </c>
      <c r="D10" s="5" t="s">
        <v>80</v>
      </c>
      <c r="E10" s="6" t="s">
        <v>34</v>
      </c>
      <c r="F10" s="3" t="n">
        <v>2022</v>
      </c>
      <c r="G10" s="4" t="s">
        <v>81</v>
      </c>
      <c r="H10" s="4"/>
      <c r="I10" s="3" t="s">
        <v>82</v>
      </c>
      <c r="J10" s="7" t="s">
        <v>83</v>
      </c>
      <c r="K10" s="6" t="s">
        <v>84</v>
      </c>
      <c r="L10" s="8" t="s">
        <v>27</v>
      </c>
      <c r="M10" s="6" t="s">
        <v>38</v>
      </c>
      <c r="N10" s="5" t="s">
        <v>85</v>
      </c>
      <c r="O10" s="6" t="s">
        <v>30</v>
      </c>
      <c r="P10" s="3" t="n">
        <v>0</v>
      </c>
      <c r="Q10" s="3" t="n">
        <v>0</v>
      </c>
      <c r="R10" s="3" t="n">
        <v>0</v>
      </c>
      <c r="S10" s="3" t="n">
        <v>48</v>
      </c>
      <c r="T10" s="4"/>
    </row>
    <row r="11" customFormat="false" ht="15" hidden="false" customHeight="false" outlineLevel="0" collapsed="false">
      <c r="A11" s="3" t="n">
        <v>10</v>
      </c>
      <c r="B11" s="4" t="s">
        <v>86</v>
      </c>
      <c r="C11" s="4" t="s">
        <v>87</v>
      </c>
      <c r="D11" s="5" t="s">
        <v>88</v>
      </c>
      <c r="E11" s="6" t="s">
        <v>34</v>
      </c>
      <c r="F11" s="3" t="n">
        <v>2025</v>
      </c>
      <c r="G11" s="4"/>
      <c r="H11" s="4"/>
      <c r="I11" s="3" t="s">
        <v>89</v>
      </c>
      <c r="J11" s="7" t="s">
        <v>90</v>
      </c>
      <c r="K11" s="6" t="s">
        <v>84</v>
      </c>
      <c r="L11" s="12" t="s">
        <v>51</v>
      </c>
      <c r="M11" s="6" t="s">
        <v>38</v>
      </c>
      <c r="N11" s="4"/>
      <c r="O11" s="6" t="s">
        <v>30</v>
      </c>
      <c r="P11" s="3" t="n">
        <v>0</v>
      </c>
      <c r="Q11" s="3" t="n">
        <v>0</v>
      </c>
      <c r="R11" s="3" t="n">
        <v>0</v>
      </c>
      <c r="S11" s="3" t="n">
        <v>16</v>
      </c>
      <c r="T11" s="4"/>
    </row>
    <row r="12" customFormat="false" ht="23.85" hidden="false" customHeight="false" outlineLevel="0" collapsed="false">
      <c r="A12" s="3" t="n">
        <v>11</v>
      </c>
      <c r="B12" s="4" t="s">
        <v>91</v>
      </c>
      <c r="C12" s="4"/>
      <c r="D12" s="5" t="s">
        <v>92</v>
      </c>
      <c r="E12" s="6" t="s">
        <v>34</v>
      </c>
      <c r="F12" s="3" t="n">
        <v>2024</v>
      </c>
      <c r="G12" s="4" t="s">
        <v>93</v>
      </c>
      <c r="H12" s="4" t="s">
        <v>94</v>
      </c>
      <c r="I12" s="3" t="s">
        <v>95</v>
      </c>
      <c r="J12" s="7" t="s">
        <v>96</v>
      </c>
      <c r="K12" s="6" t="s">
        <v>58</v>
      </c>
      <c r="L12" s="12" t="s">
        <v>51</v>
      </c>
      <c r="M12" s="6" t="s">
        <v>38</v>
      </c>
      <c r="N12" s="5" t="s">
        <v>97</v>
      </c>
      <c r="O12" s="6" t="s">
        <v>30</v>
      </c>
      <c r="P12" s="3" t="n">
        <v>0</v>
      </c>
      <c r="Q12" s="3" t="n">
        <v>0</v>
      </c>
      <c r="R12" s="3" t="n">
        <v>0</v>
      </c>
      <c r="S12" s="3" t="n">
        <v>14</v>
      </c>
      <c r="T12" s="4"/>
    </row>
    <row r="13" customFormat="false" ht="26.85" hidden="false" customHeight="false" outlineLevel="0" collapsed="false">
      <c r="A13" s="3" t="n">
        <v>12</v>
      </c>
      <c r="B13" s="4" t="s">
        <v>98</v>
      </c>
      <c r="C13" s="4"/>
      <c r="D13" s="5" t="s">
        <v>99</v>
      </c>
      <c r="E13" s="6" t="s">
        <v>34</v>
      </c>
      <c r="F13" s="3" t="n">
        <v>2024</v>
      </c>
      <c r="G13" s="4"/>
      <c r="H13" s="4"/>
      <c r="I13" s="3" t="s">
        <v>100</v>
      </c>
      <c r="J13" s="7" t="s">
        <v>101</v>
      </c>
      <c r="K13" s="6" t="s">
        <v>102</v>
      </c>
      <c r="L13" s="11" t="s">
        <v>45</v>
      </c>
      <c r="M13" s="6" t="s">
        <v>38</v>
      </c>
      <c r="N13" s="5" t="s">
        <v>103</v>
      </c>
      <c r="O13" s="6" t="s">
        <v>30</v>
      </c>
      <c r="P13" s="3" t="n">
        <v>0</v>
      </c>
      <c r="Q13" s="3" t="n">
        <v>0</v>
      </c>
      <c r="R13" s="3" t="n">
        <v>0</v>
      </c>
      <c r="S13" s="3" t="n">
        <v>90</v>
      </c>
      <c r="T13" s="4"/>
    </row>
    <row r="14" customFormat="false" ht="15" hidden="false" customHeight="false" outlineLevel="0" collapsed="false">
      <c r="A14" s="3" t="n">
        <v>13</v>
      </c>
      <c r="B14" s="4" t="s">
        <v>104</v>
      </c>
      <c r="C14" s="4" t="s">
        <v>105</v>
      </c>
      <c r="D14" s="5" t="s">
        <v>106</v>
      </c>
      <c r="E14" s="6" t="s">
        <v>34</v>
      </c>
      <c r="F14" s="3" t="n">
        <v>2024</v>
      </c>
      <c r="G14" s="4"/>
      <c r="H14" s="4"/>
      <c r="I14" s="3" t="s">
        <v>107</v>
      </c>
      <c r="J14" s="7" t="s">
        <v>108</v>
      </c>
      <c r="K14" s="6" t="s">
        <v>102</v>
      </c>
      <c r="L14" s="12" t="s">
        <v>51</v>
      </c>
      <c r="M14" s="6" t="s">
        <v>38</v>
      </c>
      <c r="N14" s="4"/>
      <c r="O14" s="6" t="s">
        <v>30</v>
      </c>
      <c r="P14" s="3" t="n">
        <v>0</v>
      </c>
      <c r="Q14" s="3" t="n">
        <v>0</v>
      </c>
      <c r="R14" s="3" t="n">
        <v>0</v>
      </c>
      <c r="S14" s="3" t="n">
        <v>12</v>
      </c>
      <c r="T14" s="4"/>
    </row>
    <row r="15" customFormat="false" ht="23.85" hidden="false" customHeight="false" outlineLevel="0" collapsed="false">
      <c r="A15" s="3" t="n">
        <v>14</v>
      </c>
      <c r="B15" s="4" t="s">
        <v>109</v>
      </c>
      <c r="C15" s="4"/>
      <c r="D15" s="5" t="s">
        <v>110</v>
      </c>
      <c r="E15" s="6" t="s">
        <v>23</v>
      </c>
      <c r="F15" s="3" t="n">
        <v>2026</v>
      </c>
      <c r="G15" s="4"/>
      <c r="H15" s="4"/>
      <c r="I15" s="3" t="s">
        <v>111</v>
      </c>
      <c r="J15" s="7" t="s">
        <v>112</v>
      </c>
      <c r="K15" s="6" t="s">
        <v>26</v>
      </c>
      <c r="L15" s="11" t="s">
        <v>45</v>
      </c>
      <c r="M15" s="6" t="s">
        <v>38</v>
      </c>
      <c r="N15" s="4"/>
      <c r="O15" s="6" t="s">
        <v>30</v>
      </c>
      <c r="P15" s="3" t="n">
        <v>0</v>
      </c>
      <c r="Q15" s="3" t="n">
        <v>0</v>
      </c>
      <c r="R15" s="3" t="n">
        <v>0</v>
      </c>
      <c r="S15" s="3" t="n">
        <v>43</v>
      </c>
      <c r="T15" s="4"/>
    </row>
    <row r="16" customFormat="false" ht="39.55" hidden="false" customHeight="false" outlineLevel="0" collapsed="false">
      <c r="A16" s="3" t="n">
        <v>15</v>
      </c>
      <c r="B16" s="4" t="s">
        <v>113</v>
      </c>
      <c r="C16" s="4" t="s">
        <v>114</v>
      </c>
      <c r="D16" s="5" t="s">
        <v>115</v>
      </c>
      <c r="E16" s="6" t="s">
        <v>34</v>
      </c>
      <c r="F16" s="3" t="n">
        <v>2022</v>
      </c>
      <c r="G16" s="4"/>
      <c r="H16" s="4"/>
      <c r="I16" s="3" t="s">
        <v>116</v>
      </c>
      <c r="J16" s="7" t="s">
        <v>117</v>
      </c>
      <c r="K16" s="6" t="s">
        <v>102</v>
      </c>
      <c r="L16" s="8" t="s">
        <v>27</v>
      </c>
      <c r="M16" s="9" t="s">
        <v>28</v>
      </c>
      <c r="N16" s="5" t="s">
        <v>118</v>
      </c>
      <c r="O16" s="6" t="s">
        <v>30</v>
      </c>
      <c r="P16" s="3" t="n">
        <v>0</v>
      </c>
      <c r="Q16" s="3" t="n">
        <v>0</v>
      </c>
      <c r="R16" s="3" t="n">
        <v>0</v>
      </c>
      <c r="S16" s="3" t="n">
        <v>12</v>
      </c>
      <c r="T16" s="4"/>
    </row>
    <row r="17" customFormat="false" ht="15" hidden="false" customHeight="false" outlineLevel="0" collapsed="false">
      <c r="A17" s="3" t="n">
        <v>16</v>
      </c>
      <c r="B17" s="4" t="s">
        <v>119</v>
      </c>
      <c r="C17" s="4" t="s">
        <v>120</v>
      </c>
      <c r="D17" s="5" t="s">
        <v>121</v>
      </c>
      <c r="E17" s="6" t="s">
        <v>74</v>
      </c>
      <c r="F17" s="3" t="n">
        <v>2027</v>
      </c>
      <c r="G17" s="4"/>
      <c r="H17" s="4"/>
      <c r="I17" s="3" t="s">
        <v>122</v>
      </c>
      <c r="J17" s="7" t="s">
        <v>123</v>
      </c>
      <c r="K17" s="6" t="s">
        <v>124</v>
      </c>
      <c r="L17" s="11" t="s">
        <v>45</v>
      </c>
      <c r="M17" s="6" t="s">
        <v>38</v>
      </c>
      <c r="N17" s="5" t="s">
        <v>125</v>
      </c>
      <c r="O17" s="6" t="s">
        <v>70</v>
      </c>
      <c r="P17" s="3" t="n">
        <v>0</v>
      </c>
      <c r="Q17" s="3" t="n">
        <v>0</v>
      </c>
      <c r="R17" s="3" t="n">
        <v>0</v>
      </c>
      <c r="S17" s="3" t="n">
        <v>0</v>
      </c>
      <c r="T17" s="4"/>
    </row>
    <row r="18" customFormat="false" ht="15" hidden="false" customHeight="false" outlineLevel="0" collapsed="false">
      <c r="A18" s="3" t="n">
        <v>17</v>
      </c>
      <c r="B18" s="4" t="s">
        <v>126</v>
      </c>
      <c r="C18" s="4" t="s">
        <v>127</v>
      </c>
      <c r="D18" s="5" t="s">
        <v>128</v>
      </c>
      <c r="E18" s="6" t="s">
        <v>34</v>
      </c>
      <c r="F18" s="3" t="n">
        <v>2023</v>
      </c>
      <c r="G18" s="4"/>
      <c r="H18" s="4"/>
      <c r="I18" s="3" t="s">
        <v>129</v>
      </c>
      <c r="J18" s="7" t="s">
        <v>130</v>
      </c>
      <c r="K18" s="6" t="s">
        <v>131</v>
      </c>
      <c r="L18" s="12" t="s">
        <v>51</v>
      </c>
      <c r="M18" s="6" t="s">
        <v>38</v>
      </c>
      <c r="N18" s="5" t="s">
        <v>132</v>
      </c>
      <c r="O18" s="10" t="s">
        <v>39</v>
      </c>
      <c r="P18" s="3" t="n">
        <v>2</v>
      </c>
      <c r="Q18" s="3" t="n">
        <v>0</v>
      </c>
      <c r="R18" s="3" t="n">
        <v>2</v>
      </c>
      <c r="S18" s="3" t="n">
        <v>68</v>
      </c>
      <c r="T18" s="4"/>
    </row>
    <row r="19" customFormat="false" ht="15" hidden="false" customHeight="false" outlineLevel="0" collapsed="false">
      <c r="A19" s="3" t="n">
        <v>18</v>
      </c>
      <c r="B19" s="4" t="s">
        <v>133</v>
      </c>
      <c r="C19" s="4" t="s">
        <v>127</v>
      </c>
      <c r="D19" s="5" t="s">
        <v>134</v>
      </c>
      <c r="E19" s="6" t="s">
        <v>34</v>
      </c>
      <c r="F19" s="3" t="n">
        <v>2023</v>
      </c>
      <c r="G19" s="4"/>
      <c r="H19" s="4"/>
      <c r="I19" s="3" t="s">
        <v>135</v>
      </c>
      <c r="J19" s="7" t="s">
        <v>136</v>
      </c>
      <c r="K19" s="6" t="s">
        <v>124</v>
      </c>
      <c r="L19" s="12" t="s">
        <v>51</v>
      </c>
      <c r="M19" s="6" t="s">
        <v>38</v>
      </c>
      <c r="N19" s="5" t="s">
        <v>132</v>
      </c>
      <c r="O19" s="10" t="s">
        <v>39</v>
      </c>
      <c r="P19" s="3" t="n">
        <v>12</v>
      </c>
      <c r="Q19" s="3" t="n">
        <v>0</v>
      </c>
      <c r="R19" s="3" t="n">
        <v>6</v>
      </c>
      <c r="S19" s="3" t="n">
        <v>49</v>
      </c>
      <c r="T19" s="4"/>
    </row>
    <row r="20" customFormat="false" ht="15" hidden="false" customHeight="false" outlineLevel="0" collapsed="false">
      <c r="A20" s="3" t="n">
        <v>19</v>
      </c>
      <c r="B20" s="4" t="s">
        <v>119</v>
      </c>
      <c r="C20" s="4" t="s">
        <v>120</v>
      </c>
      <c r="D20" s="5" t="s">
        <v>137</v>
      </c>
      <c r="E20" s="6" t="s">
        <v>138</v>
      </c>
      <c r="F20" s="3" t="n">
        <v>2026</v>
      </c>
      <c r="G20" s="4"/>
      <c r="H20" s="4"/>
      <c r="I20" s="3" t="s">
        <v>139</v>
      </c>
      <c r="J20" s="7" t="s">
        <v>140</v>
      </c>
      <c r="K20" s="6" t="s">
        <v>124</v>
      </c>
      <c r="L20" s="11" t="s">
        <v>45</v>
      </c>
      <c r="M20" s="6" t="s">
        <v>38</v>
      </c>
      <c r="N20" s="4"/>
      <c r="O20" s="6" t="s">
        <v>30</v>
      </c>
      <c r="P20" s="3" t="n">
        <v>0</v>
      </c>
      <c r="Q20" s="3" t="n">
        <v>0</v>
      </c>
      <c r="R20" s="3" t="n">
        <v>0</v>
      </c>
      <c r="S20" s="3" t="n">
        <v>49</v>
      </c>
      <c r="T20" s="4"/>
    </row>
    <row r="21" customFormat="false" ht="15" hidden="false" customHeight="false" outlineLevel="0" collapsed="false">
      <c r="A21" s="3" t="n">
        <v>20</v>
      </c>
      <c r="B21" s="4" t="s">
        <v>141</v>
      </c>
      <c r="C21" s="4" t="s">
        <v>142</v>
      </c>
      <c r="D21" s="5" t="s">
        <v>143</v>
      </c>
      <c r="E21" s="6" t="s">
        <v>34</v>
      </c>
      <c r="F21" s="3" t="n">
        <v>2023</v>
      </c>
      <c r="G21" s="4"/>
      <c r="H21" s="4"/>
      <c r="I21" s="3" t="s">
        <v>144</v>
      </c>
      <c r="J21" s="7" t="s">
        <v>145</v>
      </c>
      <c r="K21" s="6" t="s">
        <v>146</v>
      </c>
      <c r="L21" s="8" t="s">
        <v>27</v>
      </c>
      <c r="M21" s="6" t="s">
        <v>38</v>
      </c>
      <c r="N21" s="4"/>
      <c r="O21" s="6" t="s">
        <v>30</v>
      </c>
      <c r="P21" s="3" t="n">
        <v>0</v>
      </c>
      <c r="Q21" s="3" t="n">
        <v>0</v>
      </c>
      <c r="R21" s="3" t="n">
        <v>0</v>
      </c>
      <c r="S21" s="3" t="n">
        <v>19</v>
      </c>
      <c r="T21" s="4"/>
    </row>
    <row r="22" customFormat="false" ht="26.85" hidden="false" customHeight="false" outlineLevel="0" collapsed="false">
      <c r="A22" s="3" t="n">
        <v>21</v>
      </c>
      <c r="B22" s="4" t="s">
        <v>147</v>
      </c>
      <c r="C22" s="4" t="s">
        <v>148</v>
      </c>
      <c r="D22" s="5" t="s">
        <v>149</v>
      </c>
      <c r="E22" s="6" t="s">
        <v>34</v>
      </c>
      <c r="F22" s="3" t="n">
        <v>2025</v>
      </c>
      <c r="G22" s="4" t="s">
        <v>150</v>
      </c>
      <c r="H22" s="4"/>
      <c r="I22" s="3" t="s">
        <v>151</v>
      </c>
      <c r="J22" s="7" t="s">
        <v>152</v>
      </c>
      <c r="K22" s="6" t="s">
        <v>124</v>
      </c>
      <c r="L22" s="11" t="s">
        <v>45</v>
      </c>
      <c r="M22" s="6" t="s">
        <v>38</v>
      </c>
      <c r="N22" s="4"/>
      <c r="O22" s="6" t="s">
        <v>30</v>
      </c>
      <c r="P22" s="3" t="n">
        <v>0</v>
      </c>
      <c r="Q22" s="3" t="n">
        <v>0</v>
      </c>
      <c r="R22" s="3" t="n">
        <v>0</v>
      </c>
      <c r="S22" s="3" t="n">
        <v>13</v>
      </c>
      <c r="T22" s="4"/>
    </row>
    <row r="23" customFormat="false" ht="23.85" hidden="false" customHeight="false" outlineLevel="0" collapsed="false">
      <c r="A23" s="3" t="n">
        <v>22</v>
      </c>
      <c r="B23" s="4" t="s">
        <v>153</v>
      </c>
      <c r="C23" s="4"/>
      <c r="D23" s="5" t="s">
        <v>154</v>
      </c>
      <c r="E23" s="6" t="s">
        <v>34</v>
      </c>
      <c r="F23" s="3" t="n">
        <v>2023</v>
      </c>
      <c r="G23" s="4"/>
      <c r="H23" s="4"/>
      <c r="I23" s="3" t="s">
        <v>155</v>
      </c>
      <c r="J23" s="7" t="s">
        <v>156</v>
      </c>
      <c r="K23" s="6" t="s">
        <v>146</v>
      </c>
      <c r="L23" s="12" t="s">
        <v>51</v>
      </c>
      <c r="M23" s="6" t="s">
        <v>38</v>
      </c>
      <c r="N23" s="4"/>
      <c r="O23" s="6" t="s">
        <v>30</v>
      </c>
      <c r="P23" s="3" t="n">
        <v>0</v>
      </c>
      <c r="Q23" s="3" t="n">
        <v>0</v>
      </c>
      <c r="R23" s="3" t="n">
        <v>0</v>
      </c>
      <c r="S23" s="3" t="n">
        <v>35</v>
      </c>
      <c r="T23" s="4"/>
    </row>
    <row r="24" customFormat="false" ht="23.85" hidden="false" customHeight="false" outlineLevel="0" collapsed="false">
      <c r="A24" s="3" t="n">
        <v>23</v>
      </c>
      <c r="B24" s="4" t="s">
        <v>157</v>
      </c>
      <c r="C24" s="4"/>
      <c r="D24" s="5" t="s">
        <v>158</v>
      </c>
      <c r="E24" s="6" t="s">
        <v>23</v>
      </c>
      <c r="F24" s="3" t="n">
        <v>2023</v>
      </c>
      <c r="G24" s="4" t="s">
        <v>159</v>
      </c>
      <c r="H24" s="4"/>
      <c r="I24" s="3" t="s">
        <v>160</v>
      </c>
      <c r="J24" s="7" t="s">
        <v>161</v>
      </c>
      <c r="K24" s="6" t="s">
        <v>162</v>
      </c>
      <c r="L24" s="12" t="s">
        <v>51</v>
      </c>
      <c r="M24" s="6" t="s">
        <v>38</v>
      </c>
      <c r="N24" s="4"/>
      <c r="O24" s="6" t="s">
        <v>30</v>
      </c>
      <c r="P24" s="3" t="n">
        <v>0</v>
      </c>
      <c r="Q24" s="3" t="n">
        <v>0</v>
      </c>
      <c r="R24" s="3" t="n">
        <v>0</v>
      </c>
      <c r="S24" s="3" t="n">
        <v>15</v>
      </c>
      <c r="T24" s="4"/>
    </row>
    <row r="25" customFormat="false" ht="15" hidden="false" customHeight="false" outlineLevel="0" collapsed="false">
      <c r="A25" s="3" t="n">
        <v>24</v>
      </c>
      <c r="B25" s="4" t="s">
        <v>163</v>
      </c>
      <c r="C25" s="4"/>
      <c r="D25" s="5" t="s">
        <v>164</v>
      </c>
      <c r="E25" s="6" t="s">
        <v>34</v>
      </c>
      <c r="F25" s="3" t="n">
        <v>2021</v>
      </c>
      <c r="G25" s="4"/>
      <c r="H25" s="4"/>
      <c r="I25" s="3" t="s">
        <v>165</v>
      </c>
      <c r="J25" s="7" t="s">
        <v>166</v>
      </c>
      <c r="K25" s="6" t="s">
        <v>167</v>
      </c>
      <c r="L25" s="8" t="s">
        <v>27</v>
      </c>
      <c r="M25" s="6" t="s">
        <v>38</v>
      </c>
      <c r="N25" s="4"/>
      <c r="O25" s="6" t="s">
        <v>30</v>
      </c>
      <c r="P25" s="3" t="n">
        <v>0</v>
      </c>
      <c r="Q25" s="3" t="n">
        <v>0</v>
      </c>
      <c r="R25" s="3" t="n">
        <v>0</v>
      </c>
      <c r="S25" s="3" t="n">
        <v>13</v>
      </c>
      <c r="T25" s="4"/>
    </row>
    <row r="26" customFormat="false" ht="91" hidden="false" customHeight="false" outlineLevel="0" collapsed="false">
      <c r="A26" s="3" t="n">
        <v>25</v>
      </c>
      <c r="B26" s="4" t="s">
        <v>168</v>
      </c>
      <c r="C26" s="4" t="s">
        <v>169</v>
      </c>
      <c r="D26" s="5" t="s">
        <v>170</v>
      </c>
      <c r="E26" s="6" t="s">
        <v>34</v>
      </c>
      <c r="F26" s="3" t="n">
        <v>2022</v>
      </c>
      <c r="G26" s="4"/>
      <c r="H26" s="4"/>
      <c r="I26" s="3" t="s">
        <v>171</v>
      </c>
      <c r="J26" s="7" t="s">
        <v>172</v>
      </c>
      <c r="K26" s="6" t="s">
        <v>146</v>
      </c>
      <c r="L26" s="8" t="s">
        <v>27</v>
      </c>
      <c r="M26" s="9" t="s">
        <v>28</v>
      </c>
      <c r="N26" s="5" t="s">
        <v>173</v>
      </c>
      <c r="O26" s="10" t="s">
        <v>39</v>
      </c>
      <c r="P26" s="3" t="n">
        <v>2</v>
      </c>
      <c r="Q26" s="3" t="n">
        <v>0</v>
      </c>
      <c r="R26" s="3" t="n">
        <v>1</v>
      </c>
      <c r="S26" s="3" t="n">
        <v>24</v>
      </c>
      <c r="T26" s="4" t="s">
        <v>174</v>
      </c>
    </row>
    <row r="27" customFormat="false" ht="23.85" hidden="false" customHeight="false" outlineLevel="0" collapsed="false">
      <c r="A27" s="3" t="n">
        <v>26</v>
      </c>
      <c r="B27" s="4" t="s">
        <v>175</v>
      </c>
      <c r="C27" s="4" t="s">
        <v>176</v>
      </c>
      <c r="D27" s="5" t="s">
        <v>177</v>
      </c>
      <c r="E27" s="6" t="s">
        <v>23</v>
      </c>
      <c r="F27" s="3" t="n">
        <v>2022</v>
      </c>
      <c r="G27" s="4" t="s">
        <v>178</v>
      </c>
      <c r="H27" s="4"/>
      <c r="I27" s="3" t="s">
        <v>179</v>
      </c>
      <c r="J27" s="7" t="s">
        <v>180</v>
      </c>
      <c r="K27" s="6" t="s">
        <v>26</v>
      </c>
      <c r="L27" s="12" t="s">
        <v>51</v>
      </c>
      <c r="M27" s="6" t="s">
        <v>38</v>
      </c>
      <c r="N27" s="4"/>
      <c r="O27" s="6" t="s">
        <v>30</v>
      </c>
      <c r="P27" s="3" t="n">
        <v>0</v>
      </c>
      <c r="Q27" s="3" t="n">
        <v>0</v>
      </c>
      <c r="R27" s="3" t="n">
        <v>0</v>
      </c>
      <c r="S27" s="3" t="n">
        <v>15</v>
      </c>
      <c r="T27" s="4"/>
    </row>
    <row r="28" customFormat="false" ht="15" hidden="false" customHeight="false" outlineLevel="0" collapsed="false">
      <c r="A28" s="3" t="n">
        <v>27</v>
      </c>
      <c r="B28" s="4" t="s">
        <v>181</v>
      </c>
      <c r="C28" s="4" t="s">
        <v>182</v>
      </c>
      <c r="D28" s="5" t="s">
        <v>183</v>
      </c>
      <c r="E28" s="6" t="s">
        <v>34</v>
      </c>
      <c r="F28" s="3" t="n">
        <v>2023</v>
      </c>
      <c r="G28" s="4"/>
      <c r="H28" s="4"/>
      <c r="I28" s="3" t="s">
        <v>184</v>
      </c>
      <c r="J28" s="7" t="s">
        <v>185</v>
      </c>
      <c r="K28" s="6" t="s">
        <v>37</v>
      </c>
      <c r="L28" s="11" t="s">
        <v>45</v>
      </c>
      <c r="M28" s="6" t="s">
        <v>38</v>
      </c>
      <c r="N28" s="4"/>
      <c r="O28" s="10" t="s">
        <v>39</v>
      </c>
      <c r="P28" s="3" t="n">
        <v>4</v>
      </c>
      <c r="Q28" s="3" t="n">
        <v>0</v>
      </c>
      <c r="R28" s="3" t="n">
        <v>1</v>
      </c>
      <c r="S28" s="3" t="n">
        <v>22</v>
      </c>
      <c r="T28" s="4"/>
    </row>
    <row r="29" customFormat="false" ht="23.85" hidden="false" customHeight="false" outlineLevel="0" collapsed="false">
      <c r="A29" s="3" t="n">
        <v>28</v>
      </c>
      <c r="B29" s="4" t="s">
        <v>72</v>
      </c>
      <c r="C29" s="4"/>
      <c r="D29" s="5" t="s">
        <v>186</v>
      </c>
      <c r="E29" s="6" t="s">
        <v>138</v>
      </c>
      <c r="F29" s="3" t="n">
        <v>2023</v>
      </c>
      <c r="G29" s="4"/>
      <c r="H29" s="4"/>
      <c r="I29" s="3" t="s">
        <v>187</v>
      </c>
      <c r="J29" s="7" t="s">
        <v>188</v>
      </c>
      <c r="K29" s="6" t="s">
        <v>44</v>
      </c>
      <c r="L29" s="11" t="s">
        <v>45</v>
      </c>
      <c r="M29" s="6" t="s">
        <v>38</v>
      </c>
      <c r="N29" s="4"/>
      <c r="O29" s="10" t="s">
        <v>77</v>
      </c>
      <c r="P29" s="3" t="n">
        <v>2</v>
      </c>
      <c r="Q29" s="3" t="n">
        <v>2</v>
      </c>
      <c r="R29" s="3" t="n">
        <v>4</v>
      </c>
      <c r="S29" s="3" t="n">
        <v>77</v>
      </c>
      <c r="T29" s="4"/>
    </row>
    <row r="30" customFormat="false" ht="26.85" hidden="false" customHeight="false" outlineLevel="0" collapsed="false">
      <c r="A30" s="3" t="n">
        <v>29</v>
      </c>
      <c r="B30" s="4" t="s">
        <v>189</v>
      </c>
      <c r="C30" s="4" t="s">
        <v>190</v>
      </c>
      <c r="D30" s="5" t="s">
        <v>191</v>
      </c>
      <c r="E30" s="6" t="s">
        <v>34</v>
      </c>
      <c r="F30" s="3" t="n">
        <v>2023</v>
      </c>
      <c r="G30" s="4"/>
      <c r="H30" s="4"/>
      <c r="I30" s="3" t="s">
        <v>192</v>
      </c>
      <c r="J30" s="7" t="s">
        <v>193</v>
      </c>
      <c r="K30" s="6" t="s">
        <v>124</v>
      </c>
      <c r="L30" s="11" t="s">
        <v>45</v>
      </c>
      <c r="M30" s="6" t="s">
        <v>194</v>
      </c>
      <c r="N30" s="5" t="s">
        <v>195</v>
      </c>
      <c r="O30" s="6" t="s">
        <v>30</v>
      </c>
      <c r="P30" s="3" t="n">
        <v>0</v>
      </c>
      <c r="Q30" s="3" t="n">
        <v>0</v>
      </c>
      <c r="R30" s="3" t="n">
        <v>0</v>
      </c>
      <c r="S30" s="3" t="n">
        <v>31</v>
      </c>
      <c r="T30" s="4"/>
    </row>
    <row r="31" customFormat="false" ht="26.85" hidden="false" customHeight="false" outlineLevel="0" collapsed="false">
      <c r="A31" s="3" t="n">
        <v>30</v>
      </c>
      <c r="B31" s="4" t="s">
        <v>196</v>
      </c>
      <c r="C31" s="4" t="s">
        <v>197</v>
      </c>
      <c r="D31" s="5" t="s">
        <v>198</v>
      </c>
      <c r="E31" s="6" t="s">
        <v>34</v>
      </c>
      <c r="F31" s="3" t="n">
        <v>2023</v>
      </c>
      <c r="G31" s="4" t="s">
        <v>199</v>
      </c>
      <c r="H31" s="4"/>
      <c r="I31" s="3" t="s">
        <v>200</v>
      </c>
      <c r="J31" s="7" t="s">
        <v>201</v>
      </c>
      <c r="K31" s="6" t="s">
        <v>37</v>
      </c>
      <c r="L31" s="12" t="s">
        <v>51</v>
      </c>
      <c r="M31" s="6" t="s">
        <v>38</v>
      </c>
      <c r="N31" s="5" t="s">
        <v>202</v>
      </c>
      <c r="O31" s="6" t="s">
        <v>30</v>
      </c>
      <c r="P31" s="3" t="n">
        <v>0</v>
      </c>
      <c r="Q31" s="3" t="n">
        <v>0</v>
      </c>
      <c r="R31" s="3" t="n">
        <v>0</v>
      </c>
      <c r="S31" s="3" t="n">
        <v>17</v>
      </c>
      <c r="T31" s="4"/>
    </row>
    <row r="32" customFormat="false" ht="26.85" hidden="false" customHeight="false" outlineLevel="0" collapsed="false">
      <c r="A32" s="3" t="n">
        <v>31</v>
      </c>
      <c r="B32" s="4" t="s">
        <v>203</v>
      </c>
      <c r="C32" s="4" t="s">
        <v>204</v>
      </c>
      <c r="D32" s="5" t="s">
        <v>205</v>
      </c>
      <c r="E32" s="6" t="s">
        <v>34</v>
      </c>
      <c r="F32" s="3" t="n">
        <v>2022</v>
      </c>
      <c r="G32" s="4" t="s">
        <v>206</v>
      </c>
      <c r="H32" s="4"/>
      <c r="I32" s="3" t="s">
        <v>207</v>
      </c>
      <c r="J32" s="7" t="s">
        <v>208</v>
      </c>
      <c r="K32" s="6" t="s">
        <v>209</v>
      </c>
      <c r="L32" s="12" t="s">
        <v>51</v>
      </c>
      <c r="M32" s="6" t="s">
        <v>38</v>
      </c>
      <c r="N32" s="4"/>
      <c r="O32" s="6" t="s">
        <v>30</v>
      </c>
      <c r="P32" s="3" t="n">
        <v>0</v>
      </c>
      <c r="Q32" s="3" t="n">
        <v>0</v>
      </c>
      <c r="R32" s="3" t="n">
        <v>0</v>
      </c>
      <c r="S32" s="3" t="n">
        <v>17</v>
      </c>
      <c r="T32" s="4"/>
    </row>
    <row r="33" customFormat="false" ht="68.65" hidden="false" customHeight="false" outlineLevel="0" collapsed="false">
      <c r="A33" s="3" t="n">
        <v>32</v>
      </c>
      <c r="B33" s="4" t="s">
        <v>210</v>
      </c>
      <c r="C33" s="4"/>
      <c r="D33" s="5" t="s">
        <v>211</v>
      </c>
      <c r="E33" s="6" t="s">
        <v>34</v>
      </c>
      <c r="F33" s="3" t="n">
        <v>2022</v>
      </c>
      <c r="G33" s="4"/>
      <c r="H33" s="4"/>
      <c r="I33" s="3" t="s">
        <v>212</v>
      </c>
      <c r="J33" s="7" t="s">
        <v>213</v>
      </c>
      <c r="K33" s="6" t="s">
        <v>131</v>
      </c>
      <c r="L33" s="11" t="s">
        <v>45</v>
      </c>
      <c r="M33" s="6" t="s">
        <v>38</v>
      </c>
      <c r="N33" s="4"/>
      <c r="O33" s="6" t="s">
        <v>30</v>
      </c>
      <c r="P33" s="3" t="n">
        <v>0</v>
      </c>
      <c r="Q33" s="3" t="n">
        <v>0</v>
      </c>
      <c r="R33" s="3" t="n">
        <v>0</v>
      </c>
      <c r="S33" s="3" t="n">
        <v>23</v>
      </c>
      <c r="T33" s="4" t="s">
        <v>214</v>
      </c>
    </row>
    <row r="34" customFormat="false" ht="23.85" hidden="false" customHeight="false" outlineLevel="0" collapsed="false">
      <c r="A34" s="3" t="n">
        <v>33</v>
      </c>
      <c r="B34" s="4" t="s">
        <v>215</v>
      </c>
      <c r="C34" s="4"/>
      <c r="D34" s="5" t="s">
        <v>216</v>
      </c>
      <c r="E34" s="6" t="s">
        <v>34</v>
      </c>
      <c r="F34" s="3" t="n">
        <v>2022</v>
      </c>
      <c r="G34" s="4"/>
      <c r="H34" s="4" t="s">
        <v>217</v>
      </c>
      <c r="I34" s="3" t="s">
        <v>218</v>
      </c>
      <c r="J34" s="7" t="s">
        <v>219</v>
      </c>
      <c r="K34" s="6" t="s">
        <v>220</v>
      </c>
      <c r="L34" s="12" t="s">
        <v>51</v>
      </c>
      <c r="M34" s="6" t="s">
        <v>38</v>
      </c>
      <c r="N34" s="4"/>
      <c r="O34" s="6" t="s">
        <v>30</v>
      </c>
      <c r="P34" s="3" t="n">
        <v>0</v>
      </c>
      <c r="Q34" s="3" t="n">
        <v>0</v>
      </c>
      <c r="R34" s="3" t="n">
        <v>0</v>
      </c>
      <c r="S34" s="3" t="n">
        <v>19</v>
      </c>
      <c r="T34" s="4"/>
    </row>
    <row r="35" customFormat="false" ht="15" hidden="false" customHeight="false" outlineLevel="0" collapsed="false">
      <c r="A35" s="3" t="n">
        <v>34</v>
      </c>
      <c r="B35" s="4" t="s">
        <v>221</v>
      </c>
      <c r="C35" s="4" t="s">
        <v>222</v>
      </c>
      <c r="D35" s="5" t="s">
        <v>223</v>
      </c>
      <c r="E35" s="6" t="s">
        <v>34</v>
      </c>
      <c r="F35" s="3" t="n">
        <v>2022</v>
      </c>
      <c r="G35" s="4"/>
      <c r="H35" s="4"/>
      <c r="I35" s="3" t="s">
        <v>224</v>
      </c>
      <c r="J35" s="7" t="s">
        <v>225</v>
      </c>
      <c r="K35" s="6" t="s">
        <v>220</v>
      </c>
      <c r="L35" s="12" t="s">
        <v>51</v>
      </c>
      <c r="M35" s="6" t="s">
        <v>38</v>
      </c>
      <c r="N35" s="4"/>
      <c r="O35" s="6" t="s">
        <v>30</v>
      </c>
      <c r="P35" s="3" t="n">
        <v>0</v>
      </c>
      <c r="Q35" s="3" t="n">
        <v>0</v>
      </c>
      <c r="R35" s="3" t="n">
        <v>0</v>
      </c>
      <c r="S35" s="3" t="n">
        <v>19</v>
      </c>
      <c r="T35" s="4"/>
    </row>
    <row r="36" customFormat="false" ht="26.85" hidden="false" customHeight="false" outlineLevel="0" collapsed="false">
      <c r="A36" s="3" t="n">
        <v>35</v>
      </c>
      <c r="B36" s="4" t="s">
        <v>226</v>
      </c>
      <c r="C36" s="4" t="s">
        <v>227</v>
      </c>
      <c r="D36" s="5" t="s">
        <v>228</v>
      </c>
      <c r="E36" s="6" t="s">
        <v>34</v>
      </c>
      <c r="F36" s="3" t="n">
        <v>2020</v>
      </c>
      <c r="G36" s="4"/>
      <c r="H36" s="4"/>
      <c r="I36" s="3" t="s">
        <v>229</v>
      </c>
      <c r="J36" s="7" t="s">
        <v>230</v>
      </c>
      <c r="K36" s="6" t="s">
        <v>231</v>
      </c>
      <c r="L36" s="11" t="s">
        <v>45</v>
      </c>
      <c r="M36" s="6" t="s">
        <v>38</v>
      </c>
      <c r="N36" s="4"/>
      <c r="O36" s="6" t="s">
        <v>30</v>
      </c>
      <c r="P36" s="3" t="n">
        <v>0</v>
      </c>
      <c r="Q36" s="3" t="n">
        <v>0</v>
      </c>
      <c r="R36" s="3" t="n">
        <v>0</v>
      </c>
      <c r="S36" s="3" t="n">
        <v>13</v>
      </c>
      <c r="T36" s="4"/>
    </row>
    <row r="37" customFormat="false" ht="15" hidden="false" customHeight="false" outlineLevel="0" collapsed="false">
      <c r="A37" s="3" t="n">
        <v>36</v>
      </c>
      <c r="B37" s="4" t="s">
        <v>232</v>
      </c>
      <c r="C37" s="4" t="s">
        <v>127</v>
      </c>
      <c r="D37" s="5" t="s">
        <v>233</v>
      </c>
      <c r="E37" s="6" t="s">
        <v>34</v>
      </c>
      <c r="F37" s="3" t="n">
        <v>2021</v>
      </c>
      <c r="G37" s="4"/>
      <c r="H37" s="4"/>
      <c r="I37" s="3" t="s">
        <v>234</v>
      </c>
      <c r="J37" s="7" t="s">
        <v>235</v>
      </c>
      <c r="K37" s="6" t="s">
        <v>236</v>
      </c>
      <c r="L37" s="12" t="s">
        <v>51</v>
      </c>
      <c r="M37" s="6" t="s">
        <v>38</v>
      </c>
      <c r="N37" s="5" t="s">
        <v>132</v>
      </c>
      <c r="O37" s="6" t="s">
        <v>30</v>
      </c>
      <c r="P37" s="3" t="n">
        <v>0</v>
      </c>
      <c r="Q37" s="3" t="n">
        <v>0</v>
      </c>
      <c r="R37" s="3" t="n">
        <v>0</v>
      </c>
      <c r="S37" s="3" t="n">
        <v>13</v>
      </c>
      <c r="T37" s="4"/>
    </row>
    <row r="38" customFormat="false" ht="79.85" hidden="false" customHeight="false" outlineLevel="0" collapsed="false">
      <c r="A38" s="3" t="n">
        <v>37</v>
      </c>
      <c r="B38" s="4" t="s">
        <v>237</v>
      </c>
      <c r="C38" s="4" t="s">
        <v>238</v>
      </c>
      <c r="D38" s="5" t="s">
        <v>239</v>
      </c>
      <c r="E38" s="6" t="s">
        <v>34</v>
      </c>
      <c r="F38" s="3" t="n">
        <v>2021</v>
      </c>
      <c r="G38" s="4"/>
      <c r="H38" s="4"/>
      <c r="I38" s="3" t="s">
        <v>240</v>
      </c>
      <c r="J38" s="7" t="s">
        <v>241</v>
      </c>
      <c r="K38" s="6" t="s">
        <v>242</v>
      </c>
      <c r="L38" s="11" t="s">
        <v>45</v>
      </c>
      <c r="M38" s="6" t="s">
        <v>38</v>
      </c>
      <c r="N38" s="4"/>
      <c r="O38" s="10" t="s">
        <v>39</v>
      </c>
      <c r="P38" s="3" t="n">
        <v>5</v>
      </c>
      <c r="Q38" s="3" t="n">
        <v>0</v>
      </c>
      <c r="R38" s="3" t="n">
        <v>2</v>
      </c>
      <c r="S38" s="3" t="n">
        <v>13</v>
      </c>
      <c r="T38" s="4" t="s">
        <v>243</v>
      </c>
    </row>
    <row r="39" customFormat="false" ht="35.05" hidden="false" customHeight="false" outlineLevel="0" collapsed="false">
      <c r="A39" s="3" t="n">
        <v>38</v>
      </c>
      <c r="B39" s="4" t="s">
        <v>244</v>
      </c>
      <c r="C39" s="4" t="s">
        <v>245</v>
      </c>
      <c r="D39" s="5" t="s">
        <v>246</v>
      </c>
      <c r="E39" s="6" t="s">
        <v>34</v>
      </c>
      <c r="F39" s="3" t="n">
        <v>2021</v>
      </c>
      <c r="G39" s="4"/>
      <c r="H39" s="4"/>
      <c r="I39" s="3" t="s">
        <v>247</v>
      </c>
      <c r="J39" s="7" t="s">
        <v>248</v>
      </c>
      <c r="K39" s="6" t="s">
        <v>131</v>
      </c>
      <c r="L39" s="11" t="s">
        <v>45</v>
      </c>
      <c r="M39" s="6" t="s">
        <v>38</v>
      </c>
      <c r="N39" s="4"/>
      <c r="O39" s="10" t="s">
        <v>39</v>
      </c>
      <c r="P39" s="3" t="n">
        <v>12</v>
      </c>
      <c r="Q39" s="3" t="n">
        <v>0</v>
      </c>
      <c r="R39" s="3" t="n">
        <v>3</v>
      </c>
      <c r="S39" s="3" t="n">
        <v>35</v>
      </c>
      <c r="T39" s="4" t="s">
        <v>249</v>
      </c>
    </row>
    <row r="40" customFormat="false" ht="26.85" hidden="false" customHeight="false" outlineLevel="0" collapsed="false">
      <c r="A40" s="3" t="n">
        <v>39</v>
      </c>
      <c r="B40" s="4" t="s">
        <v>250</v>
      </c>
      <c r="C40" s="4" t="s">
        <v>251</v>
      </c>
      <c r="D40" s="5" t="s">
        <v>252</v>
      </c>
      <c r="E40" s="6" t="s">
        <v>34</v>
      </c>
      <c r="F40" s="3" t="n">
        <v>2022</v>
      </c>
      <c r="G40" s="4" t="s">
        <v>253</v>
      </c>
      <c r="H40" s="4"/>
      <c r="I40" s="3" t="s">
        <v>254</v>
      </c>
      <c r="J40" s="7" t="s">
        <v>255</v>
      </c>
      <c r="K40" s="6" t="s">
        <v>68</v>
      </c>
      <c r="L40" s="8" t="s">
        <v>27</v>
      </c>
      <c r="M40" s="6" t="s">
        <v>38</v>
      </c>
      <c r="N40" s="4"/>
      <c r="O40" s="6" t="s">
        <v>30</v>
      </c>
      <c r="P40" s="3" t="n">
        <v>0</v>
      </c>
      <c r="Q40" s="3" t="n">
        <v>0</v>
      </c>
      <c r="R40" s="3" t="n">
        <v>0</v>
      </c>
      <c r="S40" s="3" t="n">
        <v>22</v>
      </c>
      <c r="T40" s="4"/>
    </row>
    <row r="41" customFormat="false" ht="15" hidden="false" customHeight="false" outlineLevel="0" collapsed="false">
      <c r="A41" s="3" t="n">
        <v>40</v>
      </c>
      <c r="B41" s="4" t="s">
        <v>256</v>
      </c>
      <c r="C41" s="4"/>
      <c r="D41" s="5" t="s">
        <v>257</v>
      </c>
      <c r="E41" s="6" t="s">
        <v>34</v>
      </c>
      <c r="F41" s="3" t="n">
        <v>2021</v>
      </c>
      <c r="G41" s="4"/>
      <c r="H41" s="4"/>
      <c r="I41" s="3" t="s">
        <v>258</v>
      </c>
      <c r="J41" s="7" t="s">
        <v>259</v>
      </c>
      <c r="K41" s="6" t="s">
        <v>167</v>
      </c>
      <c r="L41" s="8" t="s">
        <v>27</v>
      </c>
      <c r="M41" s="6" t="s">
        <v>38</v>
      </c>
      <c r="N41" s="4"/>
      <c r="O41" s="6" t="s">
        <v>30</v>
      </c>
      <c r="P41" s="3" t="n">
        <v>0</v>
      </c>
      <c r="Q41" s="3" t="n">
        <v>0</v>
      </c>
      <c r="R41" s="3" t="n">
        <v>0</v>
      </c>
      <c r="S41" s="3" t="n">
        <v>22</v>
      </c>
      <c r="T41" s="4"/>
    </row>
    <row r="42" customFormat="false" ht="79.85" hidden="false" customHeight="false" outlineLevel="0" collapsed="false">
      <c r="A42" s="3" t="n">
        <v>41</v>
      </c>
      <c r="B42" s="4" t="s">
        <v>260</v>
      </c>
      <c r="C42" s="4" t="s">
        <v>261</v>
      </c>
      <c r="D42" s="5" t="s">
        <v>262</v>
      </c>
      <c r="E42" s="6" t="s">
        <v>34</v>
      </c>
      <c r="F42" s="3" t="n">
        <v>2021</v>
      </c>
      <c r="G42" s="4"/>
      <c r="H42" s="4"/>
      <c r="I42" s="3" t="s">
        <v>263</v>
      </c>
      <c r="J42" s="7" t="s">
        <v>264</v>
      </c>
      <c r="K42" s="6" t="s">
        <v>131</v>
      </c>
      <c r="L42" s="11" t="s">
        <v>45</v>
      </c>
      <c r="M42" s="6" t="s">
        <v>38</v>
      </c>
      <c r="N42" s="4"/>
      <c r="O42" s="10" t="s">
        <v>39</v>
      </c>
      <c r="P42" s="3" t="n">
        <v>18</v>
      </c>
      <c r="Q42" s="3" t="n">
        <v>0</v>
      </c>
      <c r="R42" s="3" t="n">
        <v>3</v>
      </c>
      <c r="S42" s="3" t="n">
        <v>36</v>
      </c>
      <c r="T42" s="4" t="s">
        <v>265</v>
      </c>
    </row>
    <row r="43" customFormat="false" ht="23.85" hidden="false" customHeight="false" outlineLevel="0" collapsed="false">
      <c r="A43" s="3" t="n">
        <v>42</v>
      </c>
      <c r="B43" s="4" t="s">
        <v>266</v>
      </c>
      <c r="C43" s="4" t="s">
        <v>267</v>
      </c>
      <c r="D43" s="5" t="s">
        <v>268</v>
      </c>
      <c r="E43" s="6" t="s">
        <v>34</v>
      </c>
      <c r="F43" s="3" t="n">
        <v>2021</v>
      </c>
      <c r="G43" s="4"/>
      <c r="H43" s="4"/>
      <c r="I43" s="3" t="s">
        <v>269</v>
      </c>
      <c r="J43" s="7" t="s">
        <v>270</v>
      </c>
      <c r="K43" s="6" t="s">
        <v>68</v>
      </c>
      <c r="L43" s="11" t="s">
        <v>45</v>
      </c>
      <c r="M43" s="6" t="s">
        <v>38</v>
      </c>
      <c r="N43" s="4"/>
      <c r="O43" s="10" t="s">
        <v>39</v>
      </c>
      <c r="P43" s="3" t="n">
        <v>1</v>
      </c>
      <c r="Q43" s="3" t="n">
        <v>0</v>
      </c>
      <c r="R43" s="3" t="n">
        <v>1</v>
      </c>
      <c r="S43" s="3" t="n">
        <v>22</v>
      </c>
      <c r="T43" s="4"/>
    </row>
    <row r="44" customFormat="false" ht="23.85" hidden="false" customHeight="false" outlineLevel="0" collapsed="false">
      <c r="A44" s="3" t="n">
        <v>43</v>
      </c>
      <c r="B44" s="4" t="s">
        <v>271</v>
      </c>
      <c r="C44" s="4" t="s">
        <v>272</v>
      </c>
      <c r="D44" s="5" t="s">
        <v>273</v>
      </c>
      <c r="E44" s="6" t="s">
        <v>34</v>
      </c>
      <c r="F44" s="3" t="n">
        <v>2021</v>
      </c>
      <c r="G44" s="4"/>
      <c r="H44" s="4"/>
      <c r="I44" s="3" t="s">
        <v>274</v>
      </c>
      <c r="J44" s="7" t="s">
        <v>275</v>
      </c>
      <c r="K44" s="6" t="s">
        <v>236</v>
      </c>
      <c r="L44" s="11" t="s">
        <v>45</v>
      </c>
      <c r="M44" s="6" t="s">
        <v>38</v>
      </c>
      <c r="N44" s="4"/>
      <c r="O44" s="6" t="s">
        <v>30</v>
      </c>
      <c r="P44" s="3" t="n">
        <v>0</v>
      </c>
      <c r="Q44" s="3" t="n">
        <v>0</v>
      </c>
      <c r="R44" s="3" t="n">
        <v>0</v>
      </c>
      <c r="S44" s="3" t="n">
        <v>12</v>
      </c>
      <c r="T44" s="4"/>
    </row>
    <row r="45" customFormat="false" ht="23.85" hidden="false" customHeight="false" outlineLevel="0" collapsed="false">
      <c r="A45" s="3" t="n">
        <v>44</v>
      </c>
      <c r="B45" s="4" t="s">
        <v>276</v>
      </c>
      <c r="C45" s="4" t="s">
        <v>277</v>
      </c>
      <c r="D45" s="5" t="s">
        <v>278</v>
      </c>
      <c r="E45" s="6" t="s">
        <v>34</v>
      </c>
      <c r="F45" s="3" t="n">
        <v>2021</v>
      </c>
      <c r="G45" s="4"/>
      <c r="H45" s="4"/>
      <c r="I45" s="3" t="s">
        <v>279</v>
      </c>
      <c r="J45" s="7" t="s">
        <v>280</v>
      </c>
      <c r="K45" s="6" t="s">
        <v>131</v>
      </c>
      <c r="L45" s="11" t="s">
        <v>45</v>
      </c>
      <c r="M45" s="6" t="s">
        <v>38</v>
      </c>
      <c r="N45" s="4"/>
      <c r="O45" s="10" t="s">
        <v>39</v>
      </c>
      <c r="P45" s="3" t="n">
        <v>3</v>
      </c>
      <c r="Q45" s="3" t="n">
        <v>0</v>
      </c>
      <c r="R45" s="3" t="n">
        <v>2</v>
      </c>
      <c r="S45" s="3" t="n">
        <v>25</v>
      </c>
      <c r="T45" s="4"/>
    </row>
    <row r="46" customFormat="false" ht="15" hidden="false" customHeight="false" outlineLevel="0" collapsed="false">
      <c r="A46" s="3" t="n">
        <v>45</v>
      </c>
      <c r="B46" s="4" t="s">
        <v>281</v>
      </c>
      <c r="C46" s="4" t="s">
        <v>282</v>
      </c>
      <c r="D46" s="5" t="s">
        <v>283</v>
      </c>
      <c r="E46" s="6" t="s">
        <v>34</v>
      </c>
      <c r="F46" s="3" t="n">
        <v>2021</v>
      </c>
      <c r="G46" s="4"/>
      <c r="H46" s="4"/>
      <c r="I46" s="3" t="s">
        <v>284</v>
      </c>
      <c r="J46" s="7" t="s">
        <v>285</v>
      </c>
      <c r="K46" s="6" t="s">
        <v>231</v>
      </c>
      <c r="L46" s="12" t="s">
        <v>51</v>
      </c>
      <c r="M46" s="6" t="s">
        <v>38</v>
      </c>
      <c r="N46" s="4"/>
      <c r="O46" s="6" t="s">
        <v>30</v>
      </c>
      <c r="P46" s="3" t="n">
        <v>0</v>
      </c>
      <c r="Q46" s="3" t="n">
        <v>0</v>
      </c>
      <c r="R46" s="3" t="n">
        <v>0</v>
      </c>
      <c r="S46" s="3" t="n">
        <v>27</v>
      </c>
      <c r="T46" s="4"/>
    </row>
    <row r="47" customFormat="false" ht="102.2" hidden="false" customHeight="false" outlineLevel="0" collapsed="false">
      <c r="A47" s="3" t="n">
        <v>46</v>
      </c>
      <c r="B47" s="4" t="s">
        <v>63</v>
      </c>
      <c r="C47" s="4" t="s">
        <v>286</v>
      </c>
      <c r="D47" s="5" t="s">
        <v>287</v>
      </c>
      <c r="E47" s="6" t="s">
        <v>34</v>
      </c>
      <c r="F47" s="3" t="n">
        <v>2021</v>
      </c>
      <c r="G47" s="4"/>
      <c r="H47" s="4"/>
      <c r="I47" s="3" t="s">
        <v>288</v>
      </c>
      <c r="J47" s="7" t="s">
        <v>289</v>
      </c>
      <c r="K47" s="6" t="s">
        <v>68</v>
      </c>
      <c r="L47" s="12" t="s">
        <v>51</v>
      </c>
      <c r="M47" s="6" t="s">
        <v>38</v>
      </c>
      <c r="N47" s="4"/>
      <c r="O47" s="6" t="s">
        <v>30</v>
      </c>
      <c r="P47" s="3" t="n">
        <v>0</v>
      </c>
      <c r="Q47" s="3" t="n">
        <v>0</v>
      </c>
      <c r="R47" s="3" t="n">
        <v>0</v>
      </c>
      <c r="S47" s="3" t="n">
        <v>10</v>
      </c>
      <c r="T47" s="4" t="s">
        <v>290</v>
      </c>
    </row>
    <row r="48" customFormat="false" ht="23.85" hidden="false" customHeight="false" outlineLevel="0" collapsed="false">
      <c r="A48" s="3" t="n">
        <v>47</v>
      </c>
      <c r="B48" s="4" t="s">
        <v>78</v>
      </c>
      <c r="C48" s="4"/>
      <c r="D48" s="5" t="s">
        <v>291</v>
      </c>
      <c r="E48" s="6" t="s">
        <v>34</v>
      </c>
      <c r="F48" s="3" t="n">
        <v>2019</v>
      </c>
      <c r="G48" s="4" t="s">
        <v>81</v>
      </c>
      <c r="H48" s="4"/>
      <c r="I48" s="3" t="s">
        <v>292</v>
      </c>
      <c r="J48" s="7" t="s">
        <v>293</v>
      </c>
      <c r="K48" s="6" t="s">
        <v>84</v>
      </c>
      <c r="L48" s="8" t="s">
        <v>27</v>
      </c>
      <c r="M48" s="6" t="s">
        <v>38</v>
      </c>
      <c r="N48" s="4"/>
      <c r="O48" s="6" t="s">
        <v>30</v>
      </c>
      <c r="P48" s="3" t="n">
        <v>0</v>
      </c>
      <c r="Q48" s="3" t="n">
        <v>0</v>
      </c>
      <c r="R48" s="3" t="n">
        <v>0</v>
      </c>
      <c r="S48" s="3" t="n">
        <v>38</v>
      </c>
      <c r="T48" s="4"/>
    </row>
    <row r="49" customFormat="false" ht="15" hidden="false" customHeight="false" outlineLevel="0" collapsed="false">
      <c r="A49" s="3" t="n">
        <v>48</v>
      </c>
      <c r="B49" s="4" t="s">
        <v>294</v>
      </c>
      <c r="C49" s="4" t="s">
        <v>79</v>
      </c>
      <c r="D49" s="5" t="s">
        <v>295</v>
      </c>
      <c r="E49" s="6" t="s">
        <v>34</v>
      </c>
      <c r="F49" s="3" t="n">
        <v>2021</v>
      </c>
      <c r="G49" s="4"/>
      <c r="H49" s="4"/>
      <c r="I49" s="3" t="s">
        <v>296</v>
      </c>
      <c r="J49" s="7" t="s">
        <v>297</v>
      </c>
      <c r="K49" s="6" t="s">
        <v>220</v>
      </c>
      <c r="L49" s="12" t="s">
        <v>51</v>
      </c>
      <c r="M49" s="6" t="s">
        <v>38</v>
      </c>
      <c r="N49" s="4"/>
      <c r="O49" s="6" t="s">
        <v>30</v>
      </c>
      <c r="P49" s="3" t="n">
        <v>0</v>
      </c>
      <c r="Q49" s="3" t="n">
        <v>0</v>
      </c>
      <c r="R49" s="3" t="n">
        <v>0</v>
      </c>
      <c r="S49" s="3" t="n">
        <v>14</v>
      </c>
      <c r="T49" s="4"/>
    </row>
    <row r="50" customFormat="false" ht="26.85" hidden="false" customHeight="false" outlineLevel="0" collapsed="false">
      <c r="A50" s="3" t="n">
        <v>49</v>
      </c>
      <c r="B50" s="4" t="s">
        <v>298</v>
      </c>
      <c r="C50" s="4" t="s">
        <v>299</v>
      </c>
      <c r="D50" s="5" t="s">
        <v>300</v>
      </c>
      <c r="E50" s="6" t="s">
        <v>34</v>
      </c>
      <c r="F50" s="3" t="n">
        <v>2020</v>
      </c>
      <c r="G50" s="4"/>
      <c r="H50" s="4"/>
      <c r="I50" s="3" t="s">
        <v>301</v>
      </c>
      <c r="J50" s="7" t="s">
        <v>302</v>
      </c>
      <c r="K50" s="6" t="s">
        <v>44</v>
      </c>
      <c r="L50" s="11" t="s">
        <v>45</v>
      </c>
      <c r="M50" s="6" t="s">
        <v>38</v>
      </c>
      <c r="N50" s="5" t="s">
        <v>303</v>
      </c>
      <c r="O50" s="6" t="s">
        <v>30</v>
      </c>
      <c r="P50" s="3" t="n">
        <v>0</v>
      </c>
      <c r="Q50" s="3" t="n">
        <v>0</v>
      </c>
      <c r="R50" s="3" t="n">
        <v>0</v>
      </c>
      <c r="S50" s="3" t="n">
        <v>18</v>
      </c>
      <c r="T50" s="4"/>
    </row>
    <row r="51" customFormat="false" ht="23.85" hidden="false" customHeight="false" outlineLevel="0" collapsed="false">
      <c r="A51" s="3" t="n">
        <v>50</v>
      </c>
      <c r="B51" s="4" t="s">
        <v>304</v>
      </c>
      <c r="C51" s="4"/>
      <c r="D51" s="5" t="s">
        <v>305</v>
      </c>
      <c r="E51" s="6" t="s">
        <v>34</v>
      </c>
      <c r="F51" s="3" t="n">
        <v>2020</v>
      </c>
      <c r="G51" s="4"/>
      <c r="H51" s="4"/>
      <c r="I51" s="3" t="s">
        <v>306</v>
      </c>
      <c r="J51" s="7" t="s">
        <v>307</v>
      </c>
      <c r="K51" s="6" t="s">
        <v>242</v>
      </c>
      <c r="L51" s="12" t="s">
        <v>51</v>
      </c>
      <c r="M51" s="6" t="s">
        <v>38</v>
      </c>
      <c r="N51" s="4"/>
      <c r="O51" s="6" t="s">
        <v>30</v>
      </c>
      <c r="P51" s="3" t="n">
        <v>0</v>
      </c>
      <c r="Q51" s="3" t="n">
        <v>0</v>
      </c>
      <c r="R51" s="3" t="n">
        <v>0</v>
      </c>
      <c r="S51" s="3" t="n">
        <v>45</v>
      </c>
      <c r="T51" s="4"/>
    </row>
    <row r="52" customFormat="false" ht="38.05" hidden="false" customHeight="false" outlineLevel="0" collapsed="false">
      <c r="A52" s="3" t="n">
        <v>51</v>
      </c>
      <c r="B52" s="4" t="s">
        <v>308</v>
      </c>
      <c r="C52" s="4" t="s">
        <v>309</v>
      </c>
      <c r="D52" s="5" t="s">
        <v>310</v>
      </c>
      <c r="E52" s="6" t="s">
        <v>34</v>
      </c>
      <c r="F52" s="3" t="n">
        <v>2020</v>
      </c>
      <c r="G52" s="4"/>
      <c r="H52" s="4"/>
      <c r="I52" s="3" t="s">
        <v>311</v>
      </c>
      <c r="J52" s="7" t="s">
        <v>312</v>
      </c>
      <c r="K52" s="6" t="s">
        <v>146</v>
      </c>
      <c r="L52" s="11" t="s">
        <v>45</v>
      </c>
      <c r="M52" s="9" t="s">
        <v>28</v>
      </c>
      <c r="N52" s="5" t="s">
        <v>313</v>
      </c>
      <c r="O52" s="10" t="s">
        <v>39</v>
      </c>
      <c r="P52" s="3" t="n">
        <v>2</v>
      </c>
      <c r="Q52" s="3" t="n">
        <v>0</v>
      </c>
      <c r="R52" s="3" t="n">
        <v>2</v>
      </c>
      <c r="S52" s="3" t="n">
        <v>26</v>
      </c>
      <c r="T52" s="4"/>
    </row>
    <row r="53" customFormat="false" ht="15" hidden="false" customHeight="false" outlineLevel="0" collapsed="false">
      <c r="A53" s="3" t="n">
        <v>52</v>
      </c>
      <c r="B53" s="4" t="s">
        <v>314</v>
      </c>
      <c r="C53" s="4"/>
      <c r="D53" s="5" t="s">
        <v>315</v>
      </c>
      <c r="E53" s="6" t="s">
        <v>34</v>
      </c>
      <c r="F53" s="3" t="n">
        <v>2020</v>
      </c>
      <c r="G53" s="4"/>
      <c r="H53" s="4"/>
      <c r="I53" s="3" t="s">
        <v>316</v>
      </c>
      <c r="J53" s="7" t="s">
        <v>317</v>
      </c>
      <c r="K53" s="6" t="s">
        <v>124</v>
      </c>
      <c r="L53" s="11" t="s">
        <v>45</v>
      </c>
      <c r="M53" s="6" t="s">
        <v>38</v>
      </c>
      <c r="N53" s="4"/>
      <c r="O53" s="6" t="s">
        <v>30</v>
      </c>
      <c r="P53" s="3" t="n">
        <v>0</v>
      </c>
      <c r="Q53" s="3" t="n">
        <v>0</v>
      </c>
      <c r="R53" s="3" t="n">
        <v>0</v>
      </c>
      <c r="S53" s="3" t="n">
        <v>14</v>
      </c>
      <c r="T53" s="4"/>
    </row>
    <row r="54" customFormat="false" ht="38.05" hidden="false" customHeight="false" outlineLevel="0" collapsed="false">
      <c r="A54" s="3" t="n">
        <v>53</v>
      </c>
      <c r="B54" s="4" t="s">
        <v>318</v>
      </c>
      <c r="C54" s="4" t="s">
        <v>319</v>
      </c>
      <c r="D54" s="5" t="s">
        <v>320</v>
      </c>
      <c r="E54" s="6" t="s">
        <v>34</v>
      </c>
      <c r="F54" s="3" t="n">
        <v>2020</v>
      </c>
      <c r="G54" s="4"/>
      <c r="H54" s="4"/>
      <c r="I54" s="3" t="s">
        <v>321</v>
      </c>
      <c r="J54" s="7" t="s">
        <v>322</v>
      </c>
      <c r="K54" s="6" t="s">
        <v>102</v>
      </c>
      <c r="L54" s="12" t="s">
        <v>51</v>
      </c>
      <c r="M54" s="9" t="s">
        <v>28</v>
      </c>
      <c r="N54" s="5" t="s">
        <v>323</v>
      </c>
      <c r="O54" s="6" t="s">
        <v>30</v>
      </c>
      <c r="P54" s="3" t="n">
        <v>0</v>
      </c>
      <c r="Q54" s="3" t="n">
        <v>0</v>
      </c>
      <c r="R54" s="3" t="n">
        <v>0</v>
      </c>
      <c r="S54" s="3" t="n">
        <v>30</v>
      </c>
      <c r="T54" s="4"/>
    </row>
    <row r="55" customFormat="false" ht="26.85" hidden="false" customHeight="false" outlineLevel="0" collapsed="false">
      <c r="A55" s="3" t="n">
        <v>54</v>
      </c>
      <c r="B55" s="4" t="s">
        <v>324</v>
      </c>
      <c r="C55" s="4"/>
      <c r="D55" s="5" t="s">
        <v>325</v>
      </c>
      <c r="E55" s="6" t="s">
        <v>34</v>
      </c>
      <c r="F55" s="3" t="n">
        <v>2020</v>
      </c>
      <c r="G55" s="4"/>
      <c r="H55" s="4"/>
      <c r="I55" s="3" t="s">
        <v>326</v>
      </c>
      <c r="J55" s="7" t="s">
        <v>327</v>
      </c>
      <c r="K55" s="6" t="s">
        <v>102</v>
      </c>
      <c r="L55" s="12" t="s">
        <v>51</v>
      </c>
      <c r="M55" s="6" t="s">
        <v>38</v>
      </c>
      <c r="N55" s="5" t="s">
        <v>303</v>
      </c>
      <c r="O55" s="6" t="s">
        <v>30</v>
      </c>
      <c r="P55" s="3" t="n">
        <v>0</v>
      </c>
      <c r="Q55" s="3" t="n">
        <v>0</v>
      </c>
      <c r="R55" s="3" t="n">
        <v>0</v>
      </c>
      <c r="S55" s="3" t="n">
        <v>15</v>
      </c>
      <c r="T55" s="4"/>
    </row>
    <row r="56" customFormat="false" ht="79.85" hidden="false" customHeight="false" outlineLevel="0" collapsed="false">
      <c r="A56" s="3" t="n">
        <v>55</v>
      </c>
      <c r="B56" s="4" t="s">
        <v>328</v>
      </c>
      <c r="C56" s="4" t="s">
        <v>329</v>
      </c>
      <c r="D56" s="5" t="s">
        <v>330</v>
      </c>
      <c r="E56" s="6" t="s">
        <v>34</v>
      </c>
      <c r="F56" s="3" t="n">
        <v>2020</v>
      </c>
      <c r="G56" s="4"/>
      <c r="H56" s="4"/>
      <c r="I56" s="3" t="s">
        <v>331</v>
      </c>
      <c r="J56" s="7" t="s">
        <v>332</v>
      </c>
      <c r="K56" s="6" t="s">
        <v>146</v>
      </c>
      <c r="L56" s="12" t="s">
        <v>51</v>
      </c>
      <c r="M56" s="6" t="s">
        <v>38</v>
      </c>
      <c r="N56" s="4"/>
      <c r="O56" s="10" t="s">
        <v>39</v>
      </c>
      <c r="P56" s="3" t="n">
        <v>30</v>
      </c>
      <c r="Q56" s="3" t="n">
        <v>0</v>
      </c>
      <c r="R56" s="3" t="n">
        <v>24</v>
      </c>
      <c r="S56" s="3" t="n">
        <v>34</v>
      </c>
      <c r="T56" s="4" t="s">
        <v>333</v>
      </c>
    </row>
    <row r="57" customFormat="false" ht="23.85" hidden="false" customHeight="false" outlineLevel="0" collapsed="false">
      <c r="A57" s="3" t="n">
        <v>56</v>
      </c>
      <c r="B57" s="4" t="s">
        <v>334</v>
      </c>
      <c r="C57" s="4" t="s">
        <v>335</v>
      </c>
      <c r="D57" s="5" t="s">
        <v>336</v>
      </c>
      <c r="E57" s="6" t="s">
        <v>34</v>
      </c>
      <c r="F57" s="3" t="n">
        <v>2018</v>
      </c>
      <c r="G57" s="4"/>
      <c r="H57" s="4"/>
      <c r="I57" s="3" t="s">
        <v>337</v>
      </c>
      <c r="J57" s="7" t="s">
        <v>338</v>
      </c>
      <c r="K57" s="6" t="s">
        <v>26</v>
      </c>
      <c r="L57" s="12" t="s">
        <v>51</v>
      </c>
      <c r="M57" s="6" t="s">
        <v>38</v>
      </c>
      <c r="N57" s="4"/>
      <c r="O57" s="6" t="s">
        <v>30</v>
      </c>
      <c r="P57" s="3" t="n">
        <v>0</v>
      </c>
      <c r="Q57" s="3" t="n">
        <v>0</v>
      </c>
      <c r="R57" s="3" t="n">
        <v>0</v>
      </c>
      <c r="S57" s="3" t="n">
        <v>161</v>
      </c>
      <c r="T57" s="4"/>
    </row>
    <row r="58" customFormat="false" ht="38.05" hidden="false" customHeight="false" outlineLevel="0" collapsed="false">
      <c r="A58" s="3" t="n">
        <v>57</v>
      </c>
      <c r="B58" s="4" t="s">
        <v>339</v>
      </c>
      <c r="C58" s="4" t="s">
        <v>340</v>
      </c>
      <c r="D58" s="5" t="s">
        <v>341</v>
      </c>
      <c r="E58" s="6" t="s">
        <v>34</v>
      </c>
      <c r="F58" s="3" t="n">
        <v>2020</v>
      </c>
      <c r="G58" s="4"/>
      <c r="H58" s="4"/>
      <c r="I58" s="3" t="s">
        <v>342</v>
      </c>
      <c r="J58" s="7" t="s">
        <v>343</v>
      </c>
      <c r="K58" s="6" t="s">
        <v>124</v>
      </c>
      <c r="L58" s="12" t="s">
        <v>51</v>
      </c>
      <c r="M58" s="9" t="s">
        <v>28</v>
      </c>
      <c r="N58" s="5" t="s">
        <v>344</v>
      </c>
      <c r="O58" s="6" t="s">
        <v>30</v>
      </c>
      <c r="P58" s="3" t="n">
        <v>0</v>
      </c>
      <c r="Q58" s="3" t="n">
        <v>0</v>
      </c>
      <c r="R58" s="3" t="n">
        <v>0</v>
      </c>
      <c r="S58" s="3" t="n">
        <v>33</v>
      </c>
      <c r="T58" s="4"/>
    </row>
    <row r="59" customFormat="false" ht="23.85" hidden="false" customHeight="false" outlineLevel="0" collapsed="false">
      <c r="A59" s="3" t="n">
        <v>58</v>
      </c>
      <c r="B59" s="4" t="s">
        <v>345</v>
      </c>
      <c r="C59" s="4"/>
      <c r="D59" s="5" t="s">
        <v>346</v>
      </c>
      <c r="E59" s="6" t="s">
        <v>34</v>
      </c>
      <c r="F59" s="3" t="n">
        <v>2018</v>
      </c>
      <c r="G59" s="4"/>
      <c r="H59" s="4" t="s">
        <v>347</v>
      </c>
      <c r="I59" s="3" t="s">
        <v>348</v>
      </c>
      <c r="J59" s="7" t="s">
        <v>349</v>
      </c>
      <c r="K59" s="6" t="s">
        <v>26</v>
      </c>
      <c r="L59" s="11" t="s">
        <v>45</v>
      </c>
      <c r="M59" s="6" t="s">
        <v>38</v>
      </c>
      <c r="N59" s="4"/>
      <c r="O59" s="6" t="s">
        <v>70</v>
      </c>
      <c r="P59" s="3" t="n">
        <v>0</v>
      </c>
      <c r="Q59" s="3" t="n">
        <v>0</v>
      </c>
      <c r="R59" s="3" t="n">
        <v>0</v>
      </c>
      <c r="S59" s="3" t="n">
        <v>0</v>
      </c>
      <c r="T59" s="4"/>
    </row>
    <row r="60" customFormat="false" ht="26.85" hidden="false" customHeight="false" outlineLevel="0" collapsed="false">
      <c r="A60" s="3" t="n">
        <v>59</v>
      </c>
      <c r="B60" s="4" t="s">
        <v>350</v>
      </c>
      <c r="C60" s="4" t="s">
        <v>351</v>
      </c>
      <c r="D60" s="5" t="s">
        <v>352</v>
      </c>
      <c r="E60" s="6" t="s">
        <v>34</v>
      </c>
      <c r="F60" s="3" t="n">
        <v>2020</v>
      </c>
      <c r="G60" s="4"/>
      <c r="H60" s="4"/>
      <c r="I60" s="3" t="s">
        <v>353</v>
      </c>
      <c r="J60" s="7" t="s">
        <v>354</v>
      </c>
      <c r="K60" s="6" t="s">
        <v>26</v>
      </c>
      <c r="L60" s="12" t="s">
        <v>51</v>
      </c>
      <c r="M60" s="6" t="s">
        <v>38</v>
      </c>
      <c r="N60" s="4"/>
      <c r="O60" s="6" t="s">
        <v>30</v>
      </c>
      <c r="P60" s="3" t="n">
        <v>0</v>
      </c>
      <c r="Q60" s="3" t="n">
        <v>0</v>
      </c>
      <c r="R60" s="3" t="n">
        <v>0</v>
      </c>
      <c r="S60" s="3" t="n">
        <v>45</v>
      </c>
      <c r="T60" s="4"/>
    </row>
    <row r="61" customFormat="false" ht="26.85" hidden="false" customHeight="false" outlineLevel="0" collapsed="false">
      <c r="A61" s="3" t="n">
        <v>60</v>
      </c>
      <c r="B61" s="4" t="s">
        <v>355</v>
      </c>
      <c r="C61" s="4" t="s">
        <v>356</v>
      </c>
      <c r="D61" s="5" t="s">
        <v>357</v>
      </c>
      <c r="E61" s="6" t="s">
        <v>34</v>
      </c>
      <c r="F61" s="3" t="n">
        <v>2020</v>
      </c>
      <c r="G61" s="4"/>
      <c r="H61" s="4"/>
      <c r="I61" s="3" t="s">
        <v>358</v>
      </c>
      <c r="J61" s="7" t="s">
        <v>359</v>
      </c>
      <c r="K61" s="6" t="s">
        <v>68</v>
      </c>
      <c r="L61" s="11" t="s">
        <v>45</v>
      </c>
      <c r="M61" s="6" t="s">
        <v>38</v>
      </c>
      <c r="N61" s="4"/>
      <c r="O61" s="6" t="s">
        <v>30</v>
      </c>
      <c r="P61" s="3" t="n">
        <v>0</v>
      </c>
      <c r="Q61" s="3" t="n">
        <v>0</v>
      </c>
      <c r="R61" s="3" t="n">
        <v>0</v>
      </c>
      <c r="S61" s="3" t="n">
        <v>19</v>
      </c>
      <c r="T61" s="4"/>
    </row>
    <row r="62" customFormat="false" ht="26.85" hidden="false" customHeight="false" outlineLevel="0" collapsed="false">
      <c r="A62" s="3" t="n">
        <v>61</v>
      </c>
      <c r="B62" s="4" t="s">
        <v>360</v>
      </c>
      <c r="C62" s="4" t="s">
        <v>361</v>
      </c>
      <c r="D62" s="5" t="s">
        <v>362</v>
      </c>
      <c r="E62" s="6" t="s">
        <v>34</v>
      </c>
      <c r="F62" s="3" t="n">
        <v>2019</v>
      </c>
      <c r="G62" s="4"/>
      <c r="H62" s="4"/>
      <c r="I62" s="3" t="s">
        <v>363</v>
      </c>
      <c r="J62" s="7" t="s">
        <v>364</v>
      </c>
      <c r="K62" s="6" t="s">
        <v>44</v>
      </c>
      <c r="L62" s="8" t="s">
        <v>27</v>
      </c>
      <c r="M62" s="6" t="s">
        <v>38</v>
      </c>
      <c r="N62" s="5" t="s">
        <v>365</v>
      </c>
      <c r="O62" s="6" t="s">
        <v>30</v>
      </c>
      <c r="P62" s="3" t="n">
        <v>0</v>
      </c>
      <c r="Q62" s="3" t="n">
        <v>0</v>
      </c>
      <c r="R62" s="3" t="n">
        <v>0</v>
      </c>
      <c r="S62" s="3" t="n">
        <v>30</v>
      </c>
      <c r="T62" s="4"/>
    </row>
    <row r="63" customFormat="false" ht="15" hidden="false" customHeight="false" outlineLevel="0" collapsed="false">
      <c r="A63" s="3" t="n">
        <v>62</v>
      </c>
      <c r="B63" s="4" t="s">
        <v>366</v>
      </c>
      <c r="C63" s="4" t="s">
        <v>169</v>
      </c>
      <c r="D63" s="5" t="s">
        <v>367</v>
      </c>
      <c r="E63" s="6" t="s">
        <v>34</v>
      </c>
      <c r="F63" s="3" t="n">
        <v>2019</v>
      </c>
      <c r="G63" s="4"/>
      <c r="H63" s="4"/>
      <c r="I63" s="3" t="s">
        <v>368</v>
      </c>
      <c r="J63" s="7" t="s">
        <v>369</v>
      </c>
      <c r="K63" s="6" t="s">
        <v>37</v>
      </c>
      <c r="L63" s="8" t="s">
        <v>27</v>
      </c>
      <c r="M63" s="6" t="s">
        <v>38</v>
      </c>
      <c r="N63" s="4"/>
      <c r="O63" s="6" t="s">
        <v>30</v>
      </c>
      <c r="P63" s="3" t="n">
        <v>0</v>
      </c>
      <c r="Q63" s="3" t="n">
        <v>0</v>
      </c>
      <c r="R63" s="3" t="n">
        <v>0</v>
      </c>
      <c r="S63" s="3" t="n">
        <v>15</v>
      </c>
      <c r="T63" s="4"/>
    </row>
    <row r="64" customFormat="false" ht="23.85" hidden="false" customHeight="false" outlineLevel="0" collapsed="false">
      <c r="A64" s="3" t="n">
        <v>63</v>
      </c>
      <c r="B64" s="4" t="s">
        <v>370</v>
      </c>
      <c r="C64" s="4" t="s">
        <v>371</v>
      </c>
      <c r="D64" s="5" t="s">
        <v>372</v>
      </c>
      <c r="E64" s="6" t="s">
        <v>34</v>
      </c>
      <c r="F64" s="3" t="n">
        <v>2018</v>
      </c>
      <c r="G64" s="4"/>
      <c r="H64" s="4"/>
      <c r="I64" s="3" t="s">
        <v>373</v>
      </c>
      <c r="J64" s="7" t="s">
        <v>374</v>
      </c>
      <c r="K64" s="6" t="s">
        <v>68</v>
      </c>
      <c r="L64" s="8" t="s">
        <v>27</v>
      </c>
      <c r="M64" s="6" t="s">
        <v>38</v>
      </c>
      <c r="N64" s="4"/>
      <c r="O64" s="6" t="s">
        <v>30</v>
      </c>
      <c r="P64" s="3" t="n">
        <v>0</v>
      </c>
      <c r="Q64" s="3" t="n">
        <v>0</v>
      </c>
      <c r="R64" s="3" t="n">
        <v>0</v>
      </c>
      <c r="S64" s="3" t="n">
        <v>40</v>
      </c>
      <c r="T64" s="4"/>
    </row>
    <row r="65" customFormat="false" ht="26.85" hidden="false" customHeight="false" outlineLevel="0" collapsed="false">
      <c r="A65" s="3" t="n">
        <v>64</v>
      </c>
      <c r="B65" s="4" t="s">
        <v>375</v>
      </c>
      <c r="C65" s="4" t="s">
        <v>376</v>
      </c>
      <c r="D65" s="5" t="s">
        <v>377</v>
      </c>
      <c r="E65" s="6" t="s">
        <v>34</v>
      </c>
      <c r="F65" s="3" t="n">
        <v>2019</v>
      </c>
      <c r="G65" s="4"/>
      <c r="H65" s="4"/>
      <c r="I65" s="3" t="s">
        <v>378</v>
      </c>
      <c r="J65" s="7" t="s">
        <v>379</v>
      </c>
      <c r="K65" s="6" t="s">
        <v>131</v>
      </c>
      <c r="L65" s="11" t="s">
        <v>45</v>
      </c>
      <c r="M65" s="6" t="s">
        <v>38</v>
      </c>
      <c r="N65" s="4"/>
      <c r="O65" s="6" t="s">
        <v>30</v>
      </c>
      <c r="P65" s="3" t="n">
        <v>0</v>
      </c>
      <c r="Q65" s="3" t="n">
        <v>0</v>
      </c>
      <c r="R65" s="3" t="n">
        <v>0</v>
      </c>
      <c r="S65" s="3" t="n">
        <v>31</v>
      </c>
      <c r="T65" s="4"/>
    </row>
    <row r="66" customFormat="false" ht="39.55" hidden="false" customHeight="false" outlineLevel="0" collapsed="false">
      <c r="A66" s="3" t="n">
        <v>65</v>
      </c>
      <c r="B66" s="4" t="s">
        <v>380</v>
      </c>
      <c r="C66" s="4" t="s">
        <v>381</v>
      </c>
      <c r="D66" s="5" t="s">
        <v>382</v>
      </c>
      <c r="E66" s="6" t="s">
        <v>23</v>
      </c>
      <c r="F66" s="3" t="n">
        <v>2019</v>
      </c>
      <c r="G66" s="4"/>
      <c r="H66" s="4"/>
      <c r="I66" s="3" t="s">
        <v>383</v>
      </c>
      <c r="J66" s="7" t="s">
        <v>384</v>
      </c>
      <c r="K66" s="6" t="s">
        <v>146</v>
      </c>
      <c r="L66" s="12" t="s">
        <v>51</v>
      </c>
      <c r="M66" s="9" t="s">
        <v>28</v>
      </c>
      <c r="N66" s="5" t="s">
        <v>385</v>
      </c>
      <c r="O66" s="6" t="s">
        <v>30</v>
      </c>
      <c r="P66" s="3" t="n">
        <v>0</v>
      </c>
      <c r="Q66" s="3" t="n">
        <v>0</v>
      </c>
      <c r="R66" s="3" t="n">
        <v>0</v>
      </c>
      <c r="S66" s="3" t="n">
        <v>40</v>
      </c>
      <c r="T66" s="4"/>
    </row>
    <row r="67" customFormat="false" ht="26.85" hidden="false" customHeight="false" outlineLevel="0" collapsed="false">
      <c r="A67" s="3" t="n">
        <v>66</v>
      </c>
      <c r="B67" s="4" t="s">
        <v>386</v>
      </c>
      <c r="C67" s="4" t="s">
        <v>387</v>
      </c>
      <c r="D67" s="5" t="s">
        <v>388</v>
      </c>
      <c r="E67" s="6" t="s">
        <v>34</v>
      </c>
      <c r="F67" s="3" t="n">
        <v>2019</v>
      </c>
      <c r="G67" s="4"/>
      <c r="H67" s="4"/>
      <c r="I67" s="3" t="s">
        <v>389</v>
      </c>
      <c r="J67" s="7" t="s">
        <v>390</v>
      </c>
      <c r="K67" s="6" t="s">
        <v>44</v>
      </c>
      <c r="L67" s="11" t="s">
        <v>45</v>
      </c>
      <c r="M67" s="6" t="s">
        <v>194</v>
      </c>
      <c r="N67" s="5" t="s">
        <v>391</v>
      </c>
      <c r="O67" s="6" t="s">
        <v>30</v>
      </c>
      <c r="P67" s="3" t="n">
        <v>0</v>
      </c>
      <c r="Q67" s="3" t="n">
        <v>0</v>
      </c>
      <c r="R67" s="3" t="n">
        <v>0</v>
      </c>
      <c r="S67" s="3" t="n">
        <v>42</v>
      </c>
      <c r="T67" s="4"/>
    </row>
    <row r="68" customFormat="false" ht="15" hidden="false" customHeight="false" outlineLevel="0" collapsed="false">
      <c r="A68" s="3" t="n">
        <v>67</v>
      </c>
      <c r="B68" s="4" t="s">
        <v>392</v>
      </c>
      <c r="C68" s="4" t="s">
        <v>393</v>
      </c>
      <c r="D68" s="5" t="s">
        <v>394</v>
      </c>
      <c r="E68" s="6" t="s">
        <v>34</v>
      </c>
      <c r="F68" s="3" t="n">
        <v>2019</v>
      </c>
      <c r="G68" s="4" t="s">
        <v>395</v>
      </c>
      <c r="H68" s="4"/>
      <c r="I68" s="3" t="s">
        <v>396</v>
      </c>
      <c r="J68" s="7" t="s">
        <v>397</v>
      </c>
      <c r="K68" s="6" t="s">
        <v>124</v>
      </c>
      <c r="L68" s="12" t="s">
        <v>51</v>
      </c>
      <c r="M68" s="6" t="s">
        <v>38</v>
      </c>
      <c r="N68" s="4"/>
      <c r="O68" s="6" t="s">
        <v>30</v>
      </c>
      <c r="P68" s="3" t="n">
        <v>0</v>
      </c>
      <c r="Q68" s="3" t="n">
        <v>0</v>
      </c>
      <c r="R68" s="3" t="n">
        <v>0</v>
      </c>
      <c r="S68" s="3" t="n">
        <v>9</v>
      </c>
      <c r="T68" s="4"/>
    </row>
    <row r="69" customFormat="false" ht="26.85" hidden="false" customHeight="false" outlineLevel="0" collapsed="false">
      <c r="A69" s="3" t="n">
        <v>68</v>
      </c>
      <c r="B69" s="4" t="s">
        <v>398</v>
      </c>
      <c r="C69" s="4" t="s">
        <v>399</v>
      </c>
      <c r="D69" s="5" t="s">
        <v>400</v>
      </c>
      <c r="E69" s="6" t="s">
        <v>34</v>
      </c>
      <c r="F69" s="3" t="n">
        <v>2019</v>
      </c>
      <c r="G69" s="4" t="s">
        <v>401</v>
      </c>
      <c r="H69" s="4"/>
      <c r="I69" s="3" t="s">
        <v>402</v>
      </c>
      <c r="J69" s="7" t="s">
        <v>403</v>
      </c>
      <c r="K69" s="6" t="s">
        <v>162</v>
      </c>
      <c r="L69" s="12" t="s">
        <v>51</v>
      </c>
      <c r="M69" s="9" t="s">
        <v>28</v>
      </c>
      <c r="N69" s="5" t="s">
        <v>404</v>
      </c>
      <c r="O69" s="6" t="s">
        <v>30</v>
      </c>
      <c r="P69" s="3" t="n">
        <v>0</v>
      </c>
      <c r="Q69" s="3" t="n">
        <v>0</v>
      </c>
      <c r="R69" s="3" t="n">
        <v>0</v>
      </c>
      <c r="S69" s="3" t="n">
        <v>16</v>
      </c>
      <c r="T69" s="4"/>
    </row>
    <row r="70" customFormat="false" ht="39.55" hidden="false" customHeight="false" outlineLevel="0" collapsed="false">
      <c r="A70" s="3" t="n">
        <v>69</v>
      </c>
      <c r="B70" s="4" t="s">
        <v>405</v>
      </c>
      <c r="C70" s="4" t="s">
        <v>406</v>
      </c>
      <c r="D70" s="5" t="s">
        <v>407</v>
      </c>
      <c r="E70" s="6" t="s">
        <v>34</v>
      </c>
      <c r="F70" s="3" t="n">
        <v>2018</v>
      </c>
      <c r="G70" s="4"/>
      <c r="H70" s="4"/>
      <c r="I70" s="3" t="s">
        <v>408</v>
      </c>
      <c r="J70" s="7" t="s">
        <v>409</v>
      </c>
      <c r="K70" s="6" t="s">
        <v>44</v>
      </c>
      <c r="L70" s="11" t="s">
        <v>45</v>
      </c>
      <c r="M70" s="9" t="s">
        <v>28</v>
      </c>
      <c r="N70" s="5" t="s">
        <v>410</v>
      </c>
      <c r="O70" s="6" t="s">
        <v>30</v>
      </c>
      <c r="P70" s="3" t="n">
        <v>0</v>
      </c>
      <c r="Q70" s="3" t="n">
        <v>0</v>
      </c>
      <c r="R70" s="3" t="n">
        <v>0</v>
      </c>
      <c r="S70" s="3" t="n">
        <v>30</v>
      </c>
      <c r="T70" s="4"/>
    </row>
    <row r="71" customFormat="false" ht="38.05" hidden="false" customHeight="false" outlineLevel="0" collapsed="false">
      <c r="A71" s="3" t="n">
        <v>70</v>
      </c>
      <c r="B71" s="4" t="s">
        <v>411</v>
      </c>
      <c r="C71" s="4" t="s">
        <v>412</v>
      </c>
      <c r="D71" s="5" t="s">
        <v>413</v>
      </c>
      <c r="E71" s="6" t="s">
        <v>34</v>
      </c>
      <c r="F71" s="3" t="n">
        <v>2018</v>
      </c>
      <c r="G71" s="4"/>
      <c r="H71" s="4" t="s">
        <v>414</v>
      </c>
      <c r="I71" s="3" t="s">
        <v>415</v>
      </c>
      <c r="J71" s="7" t="s">
        <v>416</v>
      </c>
      <c r="K71" s="6" t="s">
        <v>242</v>
      </c>
      <c r="L71" s="11" t="s">
        <v>45</v>
      </c>
      <c r="M71" s="6" t="s">
        <v>194</v>
      </c>
      <c r="N71" s="4" t="s">
        <v>417</v>
      </c>
      <c r="O71" s="10" t="s">
        <v>39</v>
      </c>
      <c r="P71" s="3" t="n">
        <v>1</v>
      </c>
      <c r="Q71" s="3" t="n">
        <v>0</v>
      </c>
      <c r="R71" s="3" t="n">
        <v>1</v>
      </c>
      <c r="S71" s="3" t="n">
        <v>17</v>
      </c>
      <c r="T71" s="4"/>
    </row>
    <row r="72" customFormat="false" ht="26.85" hidden="false" customHeight="false" outlineLevel="0" collapsed="false">
      <c r="A72" s="3" t="n">
        <v>71</v>
      </c>
      <c r="B72" s="4" t="s">
        <v>418</v>
      </c>
      <c r="C72" s="4" t="s">
        <v>419</v>
      </c>
      <c r="D72" s="5" t="s">
        <v>420</v>
      </c>
      <c r="E72" s="6" t="s">
        <v>34</v>
      </c>
      <c r="F72" s="3" t="n">
        <v>2018</v>
      </c>
      <c r="G72" s="4"/>
      <c r="H72" s="4"/>
      <c r="I72" s="3" t="s">
        <v>421</v>
      </c>
      <c r="J72" s="7" t="s">
        <v>422</v>
      </c>
      <c r="K72" s="6" t="s">
        <v>44</v>
      </c>
      <c r="L72" s="8" t="s">
        <v>27</v>
      </c>
      <c r="M72" s="6" t="s">
        <v>38</v>
      </c>
      <c r="N72" s="5" t="s">
        <v>365</v>
      </c>
      <c r="O72" s="10" t="s">
        <v>39</v>
      </c>
      <c r="P72" s="3" t="n">
        <v>2</v>
      </c>
      <c r="Q72" s="3" t="n">
        <v>0</v>
      </c>
      <c r="R72" s="3" t="n">
        <v>1</v>
      </c>
      <c r="S72" s="3" t="n">
        <v>28</v>
      </c>
      <c r="T72" s="4"/>
    </row>
    <row r="73" customFormat="false" ht="23.85" hidden="false" customHeight="false" outlineLevel="0" collapsed="false">
      <c r="A73" s="3" t="n">
        <v>72</v>
      </c>
      <c r="B73" s="4" t="s">
        <v>423</v>
      </c>
      <c r="C73" s="4" t="s">
        <v>424</v>
      </c>
      <c r="D73" s="5" t="s">
        <v>425</v>
      </c>
      <c r="E73" s="6" t="s">
        <v>34</v>
      </c>
      <c r="F73" s="3" t="n">
        <v>2018</v>
      </c>
      <c r="G73" s="4"/>
      <c r="H73" s="4"/>
      <c r="I73" s="3" t="s">
        <v>426</v>
      </c>
      <c r="J73" s="7" t="s">
        <v>427</v>
      </c>
      <c r="K73" s="6" t="s">
        <v>131</v>
      </c>
      <c r="L73" s="8" t="s">
        <v>27</v>
      </c>
      <c r="M73" s="6" t="s">
        <v>38</v>
      </c>
      <c r="N73" s="4"/>
      <c r="O73" s="6" t="s">
        <v>30</v>
      </c>
      <c r="P73" s="3" t="n">
        <v>0</v>
      </c>
      <c r="Q73" s="3" t="n">
        <v>0</v>
      </c>
      <c r="R73" s="3" t="n">
        <v>0</v>
      </c>
      <c r="S73" s="3" t="n">
        <v>43</v>
      </c>
      <c r="T73" s="4"/>
    </row>
    <row r="74" customFormat="false" ht="26.85" hidden="false" customHeight="false" outlineLevel="0" collapsed="false">
      <c r="A74" s="3" t="n">
        <v>73</v>
      </c>
      <c r="B74" s="4" t="s">
        <v>428</v>
      </c>
      <c r="C74" s="4" t="s">
        <v>429</v>
      </c>
      <c r="D74" s="5" t="s">
        <v>430</v>
      </c>
      <c r="E74" s="6" t="s">
        <v>34</v>
      </c>
      <c r="F74" s="3" t="n">
        <v>2018</v>
      </c>
      <c r="G74" s="4"/>
      <c r="H74" s="4"/>
      <c r="I74" s="3" t="s">
        <v>431</v>
      </c>
      <c r="J74" s="7" t="s">
        <v>432</v>
      </c>
      <c r="K74" s="6" t="s">
        <v>242</v>
      </c>
      <c r="L74" s="12" t="s">
        <v>51</v>
      </c>
      <c r="M74" s="6" t="s">
        <v>38</v>
      </c>
      <c r="N74" s="4"/>
      <c r="O74" s="6" t="s">
        <v>30</v>
      </c>
      <c r="P74" s="3" t="n">
        <v>0</v>
      </c>
      <c r="Q74" s="3" t="n">
        <v>0</v>
      </c>
      <c r="R74" s="3" t="n">
        <v>0</v>
      </c>
      <c r="S74" s="3" t="n">
        <v>22</v>
      </c>
      <c r="T74" s="4"/>
    </row>
    <row r="75" customFormat="false" ht="39.55" hidden="false" customHeight="false" outlineLevel="0" collapsed="false">
      <c r="A75" s="3" t="n">
        <v>74</v>
      </c>
      <c r="B75" s="4" t="s">
        <v>433</v>
      </c>
      <c r="C75" s="4"/>
      <c r="D75" s="5" t="s">
        <v>434</v>
      </c>
      <c r="E75" s="6" t="s">
        <v>34</v>
      </c>
      <c r="F75" s="3" t="n">
        <v>2016</v>
      </c>
      <c r="G75" s="4"/>
      <c r="H75" s="4"/>
      <c r="I75" s="3" t="s">
        <v>435</v>
      </c>
      <c r="J75" s="7" t="s">
        <v>436</v>
      </c>
      <c r="K75" s="6" t="s">
        <v>26</v>
      </c>
      <c r="L75" s="8" t="s">
        <v>27</v>
      </c>
      <c r="M75" s="9" t="s">
        <v>28</v>
      </c>
      <c r="N75" s="5" t="s">
        <v>437</v>
      </c>
      <c r="O75" s="6" t="s">
        <v>30</v>
      </c>
      <c r="P75" s="3" t="n">
        <v>0</v>
      </c>
      <c r="Q75" s="3" t="n">
        <v>0</v>
      </c>
      <c r="R75" s="3" t="n">
        <v>0</v>
      </c>
      <c r="S75" s="3" t="n">
        <v>20</v>
      </c>
      <c r="T75" s="4"/>
    </row>
    <row r="76" customFormat="false" ht="15" hidden="false" customHeight="false" outlineLevel="0" collapsed="false">
      <c r="A76" s="3" t="n">
        <v>75</v>
      </c>
      <c r="B76" s="4" t="s">
        <v>438</v>
      </c>
      <c r="C76" s="4" t="s">
        <v>439</v>
      </c>
      <c r="D76" s="5" t="s">
        <v>440</v>
      </c>
      <c r="E76" s="6" t="s">
        <v>34</v>
      </c>
      <c r="F76" s="3" t="n">
        <v>2018</v>
      </c>
      <c r="G76" s="4"/>
      <c r="H76" s="4"/>
      <c r="I76" s="3" t="s">
        <v>441</v>
      </c>
      <c r="J76" s="7" t="s">
        <v>442</v>
      </c>
      <c r="K76" s="6" t="s">
        <v>44</v>
      </c>
      <c r="L76" s="11" t="s">
        <v>45</v>
      </c>
      <c r="M76" s="6" t="s">
        <v>38</v>
      </c>
      <c r="N76" s="4"/>
      <c r="O76" s="6" t="s">
        <v>30</v>
      </c>
      <c r="P76" s="3" t="n">
        <v>0</v>
      </c>
      <c r="Q76" s="3" t="n">
        <v>0</v>
      </c>
      <c r="R76" s="3" t="n">
        <v>0</v>
      </c>
      <c r="S76" s="3" t="n">
        <v>25</v>
      </c>
      <c r="T76" s="4"/>
    </row>
    <row r="77" customFormat="false" ht="26.85" hidden="false" customHeight="false" outlineLevel="0" collapsed="false">
      <c r="A77" s="3" t="n">
        <v>76</v>
      </c>
      <c r="B77" s="4" t="s">
        <v>443</v>
      </c>
      <c r="C77" s="4" t="s">
        <v>444</v>
      </c>
      <c r="D77" s="5" t="s">
        <v>445</v>
      </c>
      <c r="E77" s="6" t="s">
        <v>34</v>
      </c>
      <c r="F77" s="3" t="n">
        <v>2018</v>
      </c>
      <c r="G77" s="4"/>
      <c r="H77" s="4"/>
      <c r="I77" s="3" t="s">
        <v>446</v>
      </c>
      <c r="J77" s="7" t="s">
        <v>447</v>
      </c>
      <c r="K77" s="6" t="s">
        <v>231</v>
      </c>
      <c r="L77" s="12" t="s">
        <v>51</v>
      </c>
      <c r="M77" s="6" t="s">
        <v>38</v>
      </c>
      <c r="N77" s="4"/>
      <c r="O77" s="6" t="s">
        <v>30</v>
      </c>
      <c r="P77" s="3" t="n">
        <v>0</v>
      </c>
      <c r="Q77" s="3" t="n">
        <v>0</v>
      </c>
      <c r="R77" s="3" t="n">
        <v>0</v>
      </c>
      <c r="S77" s="3" t="n">
        <v>14</v>
      </c>
      <c r="T77" s="4"/>
    </row>
    <row r="78" customFormat="false" ht="15" hidden="false" customHeight="false" outlineLevel="0" collapsed="false">
      <c r="A78" s="3" t="n">
        <v>77</v>
      </c>
      <c r="B78" s="4" t="s">
        <v>448</v>
      </c>
      <c r="C78" s="4"/>
      <c r="D78" s="5" t="s">
        <v>449</v>
      </c>
      <c r="E78" s="6" t="s">
        <v>34</v>
      </c>
      <c r="F78" s="3" t="n">
        <v>2017</v>
      </c>
      <c r="G78" s="4"/>
      <c r="H78" s="4"/>
      <c r="I78" s="3" t="s">
        <v>450</v>
      </c>
      <c r="J78" s="7" t="s">
        <v>451</v>
      </c>
      <c r="K78" s="6" t="s">
        <v>131</v>
      </c>
      <c r="L78" s="12" t="s">
        <v>51</v>
      </c>
      <c r="M78" s="6" t="s">
        <v>38</v>
      </c>
      <c r="N78" s="4"/>
      <c r="O78" s="6" t="s">
        <v>30</v>
      </c>
      <c r="P78" s="3" t="n">
        <v>0</v>
      </c>
      <c r="Q78" s="3" t="n">
        <v>0</v>
      </c>
      <c r="R78" s="3" t="n">
        <v>0</v>
      </c>
      <c r="S78" s="3" t="n">
        <v>12</v>
      </c>
      <c r="T78" s="4"/>
    </row>
    <row r="79" customFormat="false" ht="102.2" hidden="false" customHeight="false" outlineLevel="0" collapsed="false">
      <c r="A79" s="3" t="n">
        <v>78</v>
      </c>
      <c r="B79" s="4" t="s">
        <v>452</v>
      </c>
      <c r="C79" s="4" t="s">
        <v>453</v>
      </c>
      <c r="D79" s="5" t="s">
        <v>454</v>
      </c>
      <c r="E79" s="6" t="s">
        <v>34</v>
      </c>
      <c r="F79" s="3" t="n">
        <v>2017</v>
      </c>
      <c r="G79" s="4" t="s">
        <v>455</v>
      </c>
      <c r="H79" s="4"/>
      <c r="I79" s="3" t="s">
        <v>456</v>
      </c>
      <c r="J79" s="7" t="s">
        <v>457</v>
      </c>
      <c r="K79" s="6" t="s">
        <v>231</v>
      </c>
      <c r="L79" s="12" t="s">
        <v>51</v>
      </c>
      <c r="M79" s="6" t="s">
        <v>38</v>
      </c>
      <c r="N79" s="4"/>
      <c r="O79" s="6" t="s">
        <v>30</v>
      </c>
      <c r="P79" s="3" t="n">
        <v>0</v>
      </c>
      <c r="Q79" s="3" t="n">
        <v>0</v>
      </c>
      <c r="R79" s="3" t="n">
        <v>0</v>
      </c>
      <c r="S79" s="3" t="n">
        <v>18</v>
      </c>
      <c r="T79" s="4" t="s">
        <v>458</v>
      </c>
    </row>
    <row r="80" customFormat="false" ht="35.05" hidden="false" customHeight="false" outlineLevel="0" collapsed="false">
      <c r="A80" s="3" t="n">
        <v>79</v>
      </c>
      <c r="B80" s="4" t="s">
        <v>459</v>
      </c>
      <c r="C80" s="4"/>
      <c r="D80" s="5" t="s">
        <v>460</v>
      </c>
      <c r="E80" s="6" t="s">
        <v>34</v>
      </c>
      <c r="F80" s="3" t="n">
        <v>2017</v>
      </c>
      <c r="G80" s="4"/>
      <c r="H80" s="4" t="s">
        <v>461</v>
      </c>
      <c r="I80" s="3" t="s">
        <v>462</v>
      </c>
      <c r="J80" s="7" t="s">
        <v>463</v>
      </c>
      <c r="K80" s="6" t="s">
        <v>68</v>
      </c>
      <c r="L80" s="11" t="s">
        <v>45</v>
      </c>
      <c r="M80" s="6" t="s">
        <v>38</v>
      </c>
      <c r="N80" s="4"/>
      <c r="O80" s="6" t="s">
        <v>30</v>
      </c>
      <c r="P80" s="3" t="n">
        <v>0</v>
      </c>
      <c r="Q80" s="3" t="n">
        <v>0</v>
      </c>
      <c r="R80" s="3" t="n">
        <v>0</v>
      </c>
      <c r="S80" s="3" t="n">
        <v>13</v>
      </c>
      <c r="T80" s="4" t="s">
        <v>464</v>
      </c>
    </row>
    <row r="81" customFormat="false" ht="39.55" hidden="false" customHeight="false" outlineLevel="0" collapsed="false">
      <c r="A81" s="3" t="n">
        <v>80</v>
      </c>
      <c r="B81" s="4" t="s">
        <v>465</v>
      </c>
      <c r="C81" s="4" t="s">
        <v>309</v>
      </c>
      <c r="D81" s="5" t="s">
        <v>466</v>
      </c>
      <c r="E81" s="6" t="s">
        <v>34</v>
      </c>
      <c r="F81" s="3" t="n">
        <v>2017</v>
      </c>
      <c r="G81" s="4"/>
      <c r="H81" s="4"/>
      <c r="I81" s="3" t="s">
        <v>467</v>
      </c>
      <c r="J81" s="7" t="s">
        <v>468</v>
      </c>
      <c r="K81" s="6" t="s">
        <v>131</v>
      </c>
      <c r="L81" s="11" t="s">
        <v>45</v>
      </c>
      <c r="M81" s="9" t="s">
        <v>28</v>
      </c>
      <c r="N81" s="5" t="s">
        <v>469</v>
      </c>
      <c r="O81" s="6" t="s">
        <v>30</v>
      </c>
      <c r="P81" s="3" t="n">
        <v>0</v>
      </c>
      <c r="Q81" s="3" t="n">
        <v>0</v>
      </c>
      <c r="R81" s="3" t="n">
        <v>0</v>
      </c>
      <c r="S81" s="3" t="n">
        <v>17</v>
      </c>
      <c r="T81" s="4"/>
    </row>
    <row r="82" customFormat="false" ht="39.55" hidden="false" customHeight="false" outlineLevel="0" collapsed="false">
      <c r="A82" s="3" t="n">
        <v>81</v>
      </c>
      <c r="B82" s="4" t="s">
        <v>470</v>
      </c>
      <c r="C82" s="4" t="s">
        <v>471</v>
      </c>
      <c r="D82" s="5" t="s">
        <v>472</v>
      </c>
      <c r="E82" s="6" t="s">
        <v>34</v>
      </c>
      <c r="F82" s="3" t="n">
        <v>2017</v>
      </c>
      <c r="G82" s="4"/>
      <c r="H82" s="4"/>
      <c r="I82" s="3" t="s">
        <v>473</v>
      </c>
      <c r="J82" s="7" t="s">
        <v>474</v>
      </c>
      <c r="K82" s="6" t="s">
        <v>236</v>
      </c>
      <c r="L82" s="12" t="s">
        <v>51</v>
      </c>
      <c r="M82" s="9" t="s">
        <v>28</v>
      </c>
      <c r="N82" s="5" t="s">
        <v>475</v>
      </c>
      <c r="O82" s="6" t="s">
        <v>30</v>
      </c>
      <c r="P82" s="3" t="n">
        <v>0</v>
      </c>
      <c r="Q82" s="3" t="n">
        <v>0</v>
      </c>
      <c r="R82" s="3" t="n">
        <v>0</v>
      </c>
      <c r="S82" s="3" t="n">
        <v>107</v>
      </c>
      <c r="T82" s="4"/>
    </row>
    <row r="83" customFormat="false" ht="15" hidden="false" customHeight="false" outlineLevel="0" collapsed="false">
      <c r="A83" s="3" t="n">
        <v>82</v>
      </c>
      <c r="B83" s="4" t="s">
        <v>476</v>
      </c>
      <c r="C83" s="4" t="s">
        <v>477</v>
      </c>
      <c r="D83" s="5" t="s">
        <v>478</v>
      </c>
      <c r="E83" s="6" t="s">
        <v>34</v>
      </c>
      <c r="F83" s="3" t="n">
        <v>2016</v>
      </c>
      <c r="G83" s="4"/>
      <c r="H83" s="4"/>
      <c r="I83" s="3" t="s">
        <v>479</v>
      </c>
      <c r="J83" s="7" t="s">
        <v>480</v>
      </c>
      <c r="K83" s="6" t="s">
        <v>162</v>
      </c>
      <c r="L83" s="11" t="s">
        <v>45</v>
      </c>
      <c r="M83" s="6" t="s">
        <v>38</v>
      </c>
      <c r="N83" s="4"/>
      <c r="O83" s="6" t="s">
        <v>30</v>
      </c>
      <c r="P83" s="3" t="n">
        <v>0</v>
      </c>
      <c r="Q83" s="3" t="n">
        <v>0</v>
      </c>
      <c r="R83" s="3" t="n">
        <v>0</v>
      </c>
      <c r="S83" s="3" t="n">
        <v>12</v>
      </c>
      <c r="T83" s="4"/>
    </row>
    <row r="84" customFormat="false" ht="23.85" hidden="false" customHeight="false" outlineLevel="0" collapsed="false">
      <c r="A84" s="3" t="n">
        <v>83</v>
      </c>
      <c r="B84" s="4" t="s">
        <v>481</v>
      </c>
      <c r="C84" s="4"/>
      <c r="D84" s="5" t="s">
        <v>482</v>
      </c>
      <c r="E84" s="6" t="s">
        <v>34</v>
      </c>
      <c r="F84" s="3" t="n">
        <v>2016</v>
      </c>
      <c r="G84" s="4"/>
      <c r="H84" s="4"/>
      <c r="I84" s="3" t="s">
        <v>483</v>
      </c>
      <c r="J84" s="7" t="s">
        <v>484</v>
      </c>
      <c r="K84" s="6" t="s">
        <v>50</v>
      </c>
      <c r="L84" s="12" t="s">
        <v>51</v>
      </c>
      <c r="M84" s="6" t="s">
        <v>38</v>
      </c>
      <c r="N84" s="4"/>
      <c r="O84" s="6" t="s">
        <v>30</v>
      </c>
      <c r="P84" s="3" t="n">
        <v>0</v>
      </c>
      <c r="Q84" s="3" t="n">
        <v>0</v>
      </c>
      <c r="R84" s="3" t="n">
        <v>0</v>
      </c>
      <c r="S84" s="3" t="n">
        <v>27</v>
      </c>
      <c r="T84" s="4"/>
    </row>
    <row r="85" customFormat="false" ht="23.85" hidden="false" customHeight="false" outlineLevel="0" collapsed="false">
      <c r="A85" s="3" t="n">
        <v>84</v>
      </c>
      <c r="B85" s="4" t="s">
        <v>485</v>
      </c>
      <c r="C85" s="4" t="s">
        <v>486</v>
      </c>
      <c r="D85" s="5" t="s">
        <v>487</v>
      </c>
      <c r="E85" s="6" t="s">
        <v>34</v>
      </c>
      <c r="F85" s="3" t="n">
        <v>2015</v>
      </c>
      <c r="G85" s="4"/>
      <c r="H85" s="4"/>
      <c r="I85" s="3" t="s">
        <v>488</v>
      </c>
      <c r="J85" s="7" t="s">
        <v>489</v>
      </c>
      <c r="K85" s="6" t="s">
        <v>37</v>
      </c>
      <c r="L85" s="12" t="s">
        <v>51</v>
      </c>
      <c r="M85" s="6" t="s">
        <v>38</v>
      </c>
      <c r="N85" s="4"/>
      <c r="O85" s="6" t="s">
        <v>30</v>
      </c>
      <c r="P85" s="3" t="n">
        <v>0</v>
      </c>
      <c r="Q85" s="3" t="n">
        <v>0</v>
      </c>
      <c r="R85" s="3" t="n">
        <v>0</v>
      </c>
      <c r="S85" s="3" t="n">
        <v>11</v>
      </c>
      <c r="T85" s="4" t="s">
        <v>464</v>
      </c>
    </row>
    <row r="86" customFormat="false" ht="15" hidden="false" customHeight="false" outlineLevel="0" collapsed="false">
      <c r="A86" s="3" t="n">
        <v>85</v>
      </c>
      <c r="B86" s="4" t="s">
        <v>490</v>
      </c>
      <c r="C86" s="4" t="s">
        <v>491</v>
      </c>
      <c r="D86" s="5" t="s">
        <v>492</v>
      </c>
      <c r="E86" s="6" t="s">
        <v>34</v>
      </c>
      <c r="F86" s="3" t="n">
        <v>2015</v>
      </c>
      <c r="G86" s="4"/>
      <c r="H86" s="4"/>
      <c r="I86" s="3" t="s">
        <v>493</v>
      </c>
      <c r="J86" s="7" t="s">
        <v>494</v>
      </c>
      <c r="K86" s="6" t="s">
        <v>131</v>
      </c>
      <c r="L86" s="11" t="s">
        <v>45</v>
      </c>
      <c r="M86" s="6" t="s">
        <v>38</v>
      </c>
      <c r="N86" s="4"/>
      <c r="O86" s="6" t="s">
        <v>30</v>
      </c>
      <c r="P86" s="3" t="n">
        <v>0</v>
      </c>
      <c r="Q86" s="3" t="n">
        <v>0</v>
      </c>
      <c r="R86" s="3" t="n">
        <v>0</v>
      </c>
      <c r="S86" s="3" t="n">
        <v>15</v>
      </c>
      <c r="T86" s="4" t="s">
        <v>464</v>
      </c>
    </row>
    <row r="87" customFormat="false" ht="23.85" hidden="false" customHeight="false" outlineLevel="0" collapsed="false">
      <c r="A87" s="3" t="n">
        <v>86</v>
      </c>
      <c r="B87" s="4" t="s">
        <v>495</v>
      </c>
      <c r="C87" s="4" t="s">
        <v>496</v>
      </c>
      <c r="D87" s="5" t="s">
        <v>497</v>
      </c>
      <c r="E87" s="6" t="s">
        <v>34</v>
      </c>
      <c r="F87" s="3" t="n">
        <v>2015</v>
      </c>
      <c r="G87" s="4" t="s">
        <v>498</v>
      </c>
      <c r="H87" s="4"/>
      <c r="I87" s="3" t="s">
        <v>499</v>
      </c>
      <c r="J87" s="7" t="s">
        <v>500</v>
      </c>
      <c r="K87" s="6" t="s">
        <v>37</v>
      </c>
      <c r="L87" s="8" t="s">
        <v>27</v>
      </c>
      <c r="M87" s="6" t="s">
        <v>38</v>
      </c>
      <c r="N87" s="4"/>
      <c r="O87" s="6" t="s">
        <v>30</v>
      </c>
      <c r="P87" s="3" t="n">
        <v>0</v>
      </c>
      <c r="Q87" s="3" t="n">
        <v>0</v>
      </c>
      <c r="R87" s="3" t="n">
        <v>0</v>
      </c>
      <c r="S87" s="3" t="n">
        <v>107</v>
      </c>
      <c r="T87" s="4"/>
    </row>
    <row r="88" customFormat="false" ht="39.55" hidden="false" customHeight="false" outlineLevel="0" collapsed="false">
      <c r="A88" s="3" t="n">
        <v>87</v>
      </c>
      <c r="B88" s="4" t="s">
        <v>189</v>
      </c>
      <c r="C88" s="4" t="s">
        <v>501</v>
      </c>
      <c r="D88" s="5" t="s">
        <v>502</v>
      </c>
      <c r="E88" s="6" t="s">
        <v>34</v>
      </c>
      <c r="F88" s="3" t="n">
        <v>2015</v>
      </c>
      <c r="G88" s="4"/>
      <c r="H88" s="4"/>
      <c r="I88" s="3" t="s">
        <v>503</v>
      </c>
      <c r="J88" s="7" t="s">
        <v>504</v>
      </c>
      <c r="K88" s="6" t="s">
        <v>124</v>
      </c>
      <c r="L88" s="11" t="s">
        <v>45</v>
      </c>
      <c r="M88" s="9" t="s">
        <v>28</v>
      </c>
      <c r="N88" s="5" t="s">
        <v>505</v>
      </c>
      <c r="O88" s="6" t="s">
        <v>30</v>
      </c>
      <c r="P88" s="3" t="n">
        <v>0</v>
      </c>
      <c r="Q88" s="3" t="n">
        <v>0</v>
      </c>
      <c r="R88" s="3" t="n">
        <v>0</v>
      </c>
      <c r="S88" s="3" t="n">
        <v>28</v>
      </c>
      <c r="T88" s="4"/>
    </row>
    <row r="89" customFormat="false" ht="39.55" hidden="false" customHeight="false" outlineLevel="0" collapsed="false">
      <c r="A89" s="3" t="n">
        <v>88</v>
      </c>
      <c r="B89" s="4" t="s">
        <v>506</v>
      </c>
      <c r="C89" s="4" t="s">
        <v>507</v>
      </c>
      <c r="D89" s="5" t="s">
        <v>508</v>
      </c>
      <c r="E89" s="6" t="s">
        <v>34</v>
      </c>
      <c r="F89" s="3" t="n">
        <v>2015</v>
      </c>
      <c r="G89" s="4"/>
      <c r="H89" s="4"/>
      <c r="I89" s="3" t="s">
        <v>509</v>
      </c>
      <c r="J89" s="7" t="s">
        <v>510</v>
      </c>
      <c r="K89" s="6" t="s">
        <v>44</v>
      </c>
      <c r="L89" s="11" t="s">
        <v>45</v>
      </c>
      <c r="M89" s="9" t="s">
        <v>28</v>
      </c>
      <c r="N89" s="5" t="s">
        <v>511</v>
      </c>
      <c r="O89" s="6" t="s">
        <v>30</v>
      </c>
      <c r="P89" s="3" t="n">
        <v>0</v>
      </c>
      <c r="Q89" s="3" t="n">
        <v>0</v>
      </c>
      <c r="R89" s="3" t="n">
        <v>0</v>
      </c>
      <c r="S89" s="3" t="n">
        <v>29</v>
      </c>
      <c r="T89" s="4" t="s">
        <v>464</v>
      </c>
    </row>
    <row r="90" customFormat="false" ht="23.85" hidden="false" customHeight="false" outlineLevel="0" collapsed="false">
      <c r="A90" s="3" t="n">
        <v>89</v>
      </c>
      <c r="B90" s="4" t="s">
        <v>512</v>
      </c>
      <c r="C90" s="4"/>
      <c r="D90" s="5" t="s">
        <v>513</v>
      </c>
      <c r="E90" s="6" t="s">
        <v>34</v>
      </c>
      <c r="F90" s="3" t="n">
        <v>2015</v>
      </c>
      <c r="G90" s="4"/>
      <c r="H90" s="4"/>
      <c r="I90" s="3" t="s">
        <v>514</v>
      </c>
      <c r="J90" s="7" t="s">
        <v>515</v>
      </c>
      <c r="K90" s="6" t="s">
        <v>220</v>
      </c>
      <c r="L90" s="12" t="s">
        <v>51</v>
      </c>
      <c r="M90" s="6" t="s">
        <v>38</v>
      </c>
      <c r="N90" s="4"/>
      <c r="O90" s="6" t="s">
        <v>30</v>
      </c>
      <c r="P90" s="3" t="n">
        <v>0</v>
      </c>
      <c r="Q90" s="3" t="n">
        <v>0</v>
      </c>
      <c r="R90" s="3" t="n">
        <v>0</v>
      </c>
      <c r="S90" s="3" t="n">
        <v>15</v>
      </c>
      <c r="T90" s="4"/>
    </row>
    <row r="91" customFormat="false" ht="15" hidden="false" customHeight="false" outlineLevel="0" collapsed="false">
      <c r="A91" s="3" t="n">
        <v>90</v>
      </c>
      <c r="B91" s="4" t="s">
        <v>516</v>
      </c>
      <c r="C91" s="4" t="s">
        <v>517</v>
      </c>
      <c r="D91" s="5" t="s">
        <v>518</v>
      </c>
      <c r="E91" s="6" t="s">
        <v>34</v>
      </c>
      <c r="F91" s="3" t="n">
        <v>2015</v>
      </c>
      <c r="G91" s="4"/>
      <c r="H91" s="4"/>
      <c r="I91" s="3" t="s">
        <v>519</v>
      </c>
      <c r="J91" s="7" t="s">
        <v>520</v>
      </c>
      <c r="K91" s="6" t="s">
        <v>37</v>
      </c>
      <c r="L91" s="12" t="s">
        <v>51</v>
      </c>
      <c r="M91" s="6" t="s">
        <v>38</v>
      </c>
      <c r="N91" s="4"/>
      <c r="O91" s="6" t="s">
        <v>30</v>
      </c>
      <c r="P91" s="3" t="n">
        <v>0</v>
      </c>
      <c r="Q91" s="3" t="n">
        <v>0</v>
      </c>
      <c r="R91" s="3" t="n">
        <v>0</v>
      </c>
      <c r="S91" s="3" t="n">
        <v>15</v>
      </c>
      <c r="T91" s="4"/>
    </row>
    <row r="92" customFormat="false" ht="15" hidden="false" customHeight="false" outlineLevel="0" collapsed="false">
      <c r="A92" s="3" t="n">
        <v>91</v>
      </c>
      <c r="B92" s="4" t="s">
        <v>281</v>
      </c>
      <c r="C92" s="4" t="s">
        <v>521</v>
      </c>
      <c r="D92" s="5" t="s">
        <v>522</v>
      </c>
      <c r="E92" s="6" t="s">
        <v>34</v>
      </c>
      <c r="F92" s="3" t="n">
        <v>2015</v>
      </c>
      <c r="G92" s="4"/>
      <c r="H92" s="4"/>
      <c r="I92" s="3" t="s">
        <v>523</v>
      </c>
      <c r="J92" s="7" t="s">
        <v>524</v>
      </c>
      <c r="K92" s="6" t="s">
        <v>231</v>
      </c>
      <c r="L92" s="12" t="s">
        <v>51</v>
      </c>
      <c r="M92" s="6" t="s">
        <v>38</v>
      </c>
      <c r="N92" s="4"/>
      <c r="O92" s="6" t="s">
        <v>30</v>
      </c>
      <c r="P92" s="3" t="n">
        <v>0</v>
      </c>
      <c r="Q92" s="3" t="n">
        <v>0</v>
      </c>
      <c r="R92" s="3" t="n">
        <v>0</v>
      </c>
      <c r="S92" s="3" t="n">
        <v>26</v>
      </c>
      <c r="T92" s="4"/>
    </row>
    <row r="93" customFormat="false" ht="23.85" hidden="false" customHeight="false" outlineLevel="0" collapsed="false">
      <c r="A93" s="3" t="n">
        <v>92</v>
      </c>
      <c r="B93" s="4" t="s">
        <v>203</v>
      </c>
      <c r="C93" s="4" t="s">
        <v>525</v>
      </c>
      <c r="D93" s="5" t="s">
        <v>526</v>
      </c>
      <c r="E93" s="6" t="s">
        <v>34</v>
      </c>
      <c r="F93" s="3" t="n">
        <v>2014</v>
      </c>
      <c r="G93" s="4" t="s">
        <v>527</v>
      </c>
      <c r="H93" s="4"/>
      <c r="I93" s="3" t="s">
        <v>528</v>
      </c>
      <c r="J93" s="7" t="s">
        <v>529</v>
      </c>
      <c r="K93" s="6" t="s">
        <v>209</v>
      </c>
      <c r="L93" s="12" t="s">
        <v>51</v>
      </c>
      <c r="M93" s="6" t="s">
        <v>38</v>
      </c>
      <c r="N93" s="4"/>
      <c r="O93" s="6" t="s">
        <v>30</v>
      </c>
      <c r="P93" s="3" t="n">
        <v>0</v>
      </c>
      <c r="Q93" s="3" t="n">
        <v>0</v>
      </c>
      <c r="R93" s="3" t="n">
        <v>0</v>
      </c>
      <c r="S93" s="3" t="n">
        <v>16</v>
      </c>
      <c r="T93" s="4"/>
    </row>
    <row r="94" customFormat="false" ht="39.55" hidden="false" customHeight="false" outlineLevel="0" collapsed="false">
      <c r="A94" s="3" t="n">
        <v>93</v>
      </c>
      <c r="B94" s="4" t="s">
        <v>530</v>
      </c>
      <c r="C94" s="4"/>
      <c r="D94" s="5" t="s">
        <v>531</v>
      </c>
      <c r="E94" s="6" t="s">
        <v>34</v>
      </c>
      <c r="F94" s="3" t="n">
        <v>2014</v>
      </c>
      <c r="G94" s="4" t="s">
        <v>532</v>
      </c>
      <c r="H94" s="4"/>
      <c r="I94" s="3" t="s">
        <v>533</v>
      </c>
      <c r="J94" s="7" t="s">
        <v>534</v>
      </c>
      <c r="K94" s="6" t="s">
        <v>102</v>
      </c>
      <c r="L94" s="12" t="s">
        <v>51</v>
      </c>
      <c r="M94" s="9" t="s">
        <v>28</v>
      </c>
      <c r="N94" s="5" t="s">
        <v>535</v>
      </c>
      <c r="O94" s="6" t="s">
        <v>30</v>
      </c>
      <c r="P94" s="3" t="n">
        <v>0</v>
      </c>
      <c r="Q94" s="3" t="n">
        <v>0</v>
      </c>
      <c r="R94" s="3" t="n">
        <v>0</v>
      </c>
      <c r="S94" s="3" t="n">
        <v>12</v>
      </c>
      <c r="T94" s="4"/>
    </row>
    <row r="95" customFormat="false" ht="15" hidden="false" customHeight="false" outlineLevel="0" collapsed="false">
      <c r="A95" s="3" t="n">
        <v>94</v>
      </c>
      <c r="B95" s="4" t="s">
        <v>536</v>
      </c>
      <c r="C95" s="4"/>
      <c r="D95" s="5" t="s">
        <v>537</v>
      </c>
      <c r="E95" s="6" t="s">
        <v>34</v>
      </c>
      <c r="F95" s="3" t="n">
        <v>2014</v>
      </c>
      <c r="G95" s="4"/>
      <c r="H95" s="4"/>
      <c r="I95" s="3" t="s">
        <v>538</v>
      </c>
      <c r="J95" s="7" t="s">
        <v>539</v>
      </c>
      <c r="K95" s="6" t="s">
        <v>44</v>
      </c>
      <c r="L95" s="11" t="s">
        <v>45</v>
      </c>
      <c r="M95" s="6" t="s">
        <v>38</v>
      </c>
      <c r="N95" s="4"/>
      <c r="O95" s="6" t="s">
        <v>30</v>
      </c>
      <c r="P95" s="3" t="n">
        <v>0</v>
      </c>
      <c r="Q95" s="3" t="n">
        <v>0</v>
      </c>
      <c r="R95" s="3" t="n">
        <v>0</v>
      </c>
      <c r="S95" s="3" t="n">
        <v>9</v>
      </c>
      <c r="T95" s="4" t="s">
        <v>464</v>
      </c>
    </row>
    <row r="96" customFormat="false" ht="35.05" hidden="false" customHeight="false" outlineLevel="0" collapsed="false">
      <c r="A96" s="3" t="n">
        <v>95</v>
      </c>
      <c r="B96" s="4" t="s">
        <v>540</v>
      </c>
      <c r="C96" s="4" t="s">
        <v>541</v>
      </c>
      <c r="D96" s="5" t="s">
        <v>542</v>
      </c>
      <c r="E96" s="6" t="s">
        <v>34</v>
      </c>
      <c r="F96" s="3" t="n">
        <v>2014</v>
      </c>
      <c r="G96" s="4"/>
      <c r="H96" s="4" t="s">
        <v>543</v>
      </c>
      <c r="I96" s="3" t="s">
        <v>544</v>
      </c>
      <c r="J96" s="7" t="s">
        <v>545</v>
      </c>
      <c r="K96" s="6" t="s">
        <v>68</v>
      </c>
      <c r="L96" s="11" t="s">
        <v>45</v>
      </c>
      <c r="M96" s="6" t="s">
        <v>38</v>
      </c>
      <c r="N96" s="4"/>
      <c r="O96" s="6" t="s">
        <v>30</v>
      </c>
      <c r="P96" s="3" t="n">
        <v>0</v>
      </c>
      <c r="Q96" s="3" t="n">
        <v>0</v>
      </c>
      <c r="R96" s="3" t="n">
        <v>0</v>
      </c>
      <c r="S96" s="3" t="n">
        <v>19</v>
      </c>
      <c r="T96" s="4"/>
    </row>
    <row r="97" customFormat="false" ht="68.65" hidden="false" customHeight="false" outlineLevel="0" collapsed="false">
      <c r="A97" s="3" t="n">
        <v>96</v>
      </c>
      <c r="B97" s="4" t="s">
        <v>418</v>
      </c>
      <c r="C97" s="4" t="s">
        <v>546</v>
      </c>
      <c r="D97" s="5" t="s">
        <v>547</v>
      </c>
      <c r="E97" s="6" t="s">
        <v>34</v>
      </c>
      <c r="F97" s="3" t="n">
        <v>2012</v>
      </c>
      <c r="G97" s="4"/>
      <c r="H97" s="4"/>
      <c r="I97" s="3" t="s">
        <v>548</v>
      </c>
      <c r="J97" s="7" t="s">
        <v>549</v>
      </c>
      <c r="K97" s="6" t="s">
        <v>44</v>
      </c>
      <c r="L97" s="8" t="s">
        <v>27</v>
      </c>
      <c r="M97" s="6" t="s">
        <v>38</v>
      </c>
      <c r="N97" s="5" t="s">
        <v>365</v>
      </c>
      <c r="O97" s="10" t="s">
        <v>39</v>
      </c>
      <c r="P97" s="3" t="n">
        <v>4</v>
      </c>
      <c r="Q97" s="3" t="n">
        <v>0</v>
      </c>
      <c r="R97" s="3" t="n">
        <v>4</v>
      </c>
      <c r="S97" s="3" t="n">
        <v>22</v>
      </c>
      <c r="T97" s="4" t="s">
        <v>550</v>
      </c>
    </row>
    <row r="98" customFormat="false" ht="15" hidden="false" customHeight="false" outlineLevel="0" collapsed="false">
      <c r="A98" s="3" t="n">
        <v>97</v>
      </c>
      <c r="B98" s="4" t="s">
        <v>551</v>
      </c>
      <c r="C98" s="4" t="s">
        <v>21</v>
      </c>
      <c r="D98" s="5" t="s">
        <v>552</v>
      </c>
      <c r="E98" s="6" t="s">
        <v>34</v>
      </c>
      <c r="F98" s="3" t="n">
        <v>2011</v>
      </c>
      <c r="G98" s="4"/>
      <c r="H98" s="4"/>
      <c r="I98" s="3" t="s">
        <v>553</v>
      </c>
      <c r="J98" s="7" t="s">
        <v>554</v>
      </c>
      <c r="K98" s="6" t="s">
        <v>68</v>
      </c>
      <c r="L98" s="11" t="s">
        <v>45</v>
      </c>
      <c r="M98" s="6" t="s">
        <v>38</v>
      </c>
      <c r="N98" s="4"/>
      <c r="O98" s="6" t="s">
        <v>30</v>
      </c>
      <c r="P98" s="3" t="n">
        <v>0</v>
      </c>
      <c r="Q98" s="3" t="n">
        <v>0</v>
      </c>
      <c r="R98" s="3" t="n">
        <v>0</v>
      </c>
      <c r="S98" s="3" t="n">
        <v>35</v>
      </c>
      <c r="T98" s="4"/>
    </row>
    <row r="99" customFormat="false" ht="15" hidden="false" customHeight="false" outlineLevel="0" collapsed="false">
      <c r="A99" s="3" t="n">
        <v>98</v>
      </c>
      <c r="B99" s="4" t="s">
        <v>555</v>
      </c>
      <c r="C99" s="4" t="s">
        <v>556</v>
      </c>
      <c r="D99" s="5" t="s">
        <v>557</v>
      </c>
      <c r="E99" s="6" t="s">
        <v>34</v>
      </c>
      <c r="F99" s="3" t="n">
        <v>2011</v>
      </c>
      <c r="G99" s="4"/>
      <c r="H99" s="4"/>
      <c r="I99" s="3" t="s">
        <v>558</v>
      </c>
      <c r="J99" s="7" t="s">
        <v>559</v>
      </c>
      <c r="K99" s="6" t="s">
        <v>131</v>
      </c>
      <c r="L99" s="12" t="s">
        <v>51</v>
      </c>
      <c r="M99" s="6" t="s">
        <v>38</v>
      </c>
      <c r="N99" s="4"/>
      <c r="O99" s="6" t="s">
        <v>30</v>
      </c>
      <c r="P99" s="3" t="n">
        <v>0</v>
      </c>
      <c r="Q99" s="3" t="n">
        <v>0</v>
      </c>
      <c r="R99" s="3" t="n">
        <v>0</v>
      </c>
      <c r="S99" s="3" t="n">
        <v>8</v>
      </c>
      <c r="T99" s="4"/>
    </row>
    <row r="100" customFormat="false" ht="38.05" hidden="false" customHeight="false" outlineLevel="0" collapsed="false">
      <c r="A100" s="3" t="n">
        <v>99</v>
      </c>
      <c r="B100" s="4" t="s">
        <v>560</v>
      </c>
      <c r="C100" s="4"/>
      <c r="D100" s="5" t="s">
        <v>561</v>
      </c>
      <c r="E100" s="6" t="s">
        <v>34</v>
      </c>
      <c r="F100" s="3" t="n">
        <v>2010</v>
      </c>
      <c r="G100" s="4"/>
      <c r="H100" s="4"/>
      <c r="I100" s="3" t="s">
        <v>562</v>
      </c>
      <c r="J100" s="7" t="s">
        <v>563</v>
      </c>
      <c r="K100" s="6" t="s">
        <v>102</v>
      </c>
      <c r="L100" s="12" t="s">
        <v>51</v>
      </c>
      <c r="M100" s="9" t="s">
        <v>28</v>
      </c>
      <c r="N100" s="5" t="s">
        <v>564</v>
      </c>
      <c r="O100" s="6" t="s">
        <v>30</v>
      </c>
      <c r="P100" s="3" t="n">
        <v>0</v>
      </c>
      <c r="Q100" s="3" t="n">
        <v>0</v>
      </c>
      <c r="R100" s="3" t="n">
        <v>0</v>
      </c>
      <c r="S100" s="3" t="n">
        <v>9</v>
      </c>
      <c r="T100" s="4"/>
    </row>
    <row r="101" customFormat="false" ht="15" hidden="false" customHeight="false" outlineLevel="0" collapsed="false">
      <c r="A101" s="3" t="n">
        <v>100</v>
      </c>
      <c r="B101" s="4" t="s">
        <v>565</v>
      </c>
      <c r="C101" s="4" t="s">
        <v>566</v>
      </c>
      <c r="D101" s="5" t="s">
        <v>567</v>
      </c>
      <c r="E101" s="6" t="s">
        <v>34</v>
      </c>
      <c r="F101" s="3" t="n">
        <v>2010</v>
      </c>
      <c r="G101" s="4"/>
      <c r="H101" s="4"/>
      <c r="I101" s="3" t="s">
        <v>568</v>
      </c>
      <c r="J101" s="7" t="s">
        <v>569</v>
      </c>
      <c r="K101" s="6" t="s">
        <v>231</v>
      </c>
      <c r="L101" s="12" t="s">
        <v>51</v>
      </c>
      <c r="M101" s="6" t="s">
        <v>38</v>
      </c>
      <c r="N101" s="4"/>
      <c r="O101" s="6" t="s">
        <v>30</v>
      </c>
      <c r="P101" s="3" t="n">
        <v>0</v>
      </c>
      <c r="Q101" s="3" t="n">
        <v>0</v>
      </c>
      <c r="R101" s="3" t="n">
        <v>0</v>
      </c>
      <c r="S101" s="3" t="n">
        <v>25</v>
      </c>
      <c r="T101" s="4"/>
    </row>
    <row r="102" customFormat="false" ht="15" hidden="false" customHeight="false" outlineLevel="0" collapsed="false">
      <c r="A102" s="3" t="n">
        <v>101</v>
      </c>
      <c r="B102" s="4" t="s">
        <v>570</v>
      </c>
      <c r="C102" s="4"/>
      <c r="D102" s="5" t="s">
        <v>571</v>
      </c>
      <c r="E102" s="6" t="s">
        <v>34</v>
      </c>
      <c r="F102" s="3" t="n">
        <v>2008</v>
      </c>
      <c r="G102" s="4"/>
      <c r="H102" s="4"/>
      <c r="I102" s="3" t="s">
        <v>572</v>
      </c>
      <c r="J102" s="7" t="s">
        <v>573</v>
      </c>
      <c r="K102" s="6" t="s">
        <v>220</v>
      </c>
      <c r="L102" s="12" t="s">
        <v>51</v>
      </c>
      <c r="M102" s="6" t="s">
        <v>38</v>
      </c>
      <c r="N102" s="4"/>
      <c r="O102" s="6" t="s">
        <v>30</v>
      </c>
      <c r="P102" s="3" t="n">
        <v>0</v>
      </c>
      <c r="Q102" s="3" t="n">
        <v>0</v>
      </c>
      <c r="R102" s="3" t="n">
        <v>0</v>
      </c>
      <c r="S102" s="3" t="n">
        <v>38</v>
      </c>
      <c r="T102" s="4"/>
    </row>
    <row r="103" customFormat="false" ht="68.65" hidden="false" customHeight="false" outlineLevel="0" collapsed="false">
      <c r="A103" s="3" t="n">
        <v>102</v>
      </c>
      <c r="B103" s="4" t="s">
        <v>574</v>
      </c>
      <c r="C103" s="4" t="s">
        <v>575</v>
      </c>
      <c r="D103" s="5" t="s">
        <v>576</v>
      </c>
      <c r="E103" s="6" t="s">
        <v>34</v>
      </c>
      <c r="F103" s="3" t="n">
        <v>2008</v>
      </c>
      <c r="G103" s="4" t="s">
        <v>577</v>
      </c>
      <c r="H103" s="4"/>
      <c r="I103" s="3" t="s">
        <v>578</v>
      </c>
      <c r="J103" s="7" t="s">
        <v>579</v>
      </c>
      <c r="K103" s="6" t="s">
        <v>26</v>
      </c>
      <c r="L103" s="8" t="s">
        <v>27</v>
      </c>
      <c r="M103" s="6" t="s">
        <v>38</v>
      </c>
      <c r="N103" s="5" t="s">
        <v>580</v>
      </c>
      <c r="O103" s="6" t="s">
        <v>30</v>
      </c>
      <c r="P103" s="3" t="n">
        <v>0</v>
      </c>
      <c r="Q103" s="3" t="n">
        <v>0</v>
      </c>
      <c r="R103" s="3" t="n">
        <v>0</v>
      </c>
      <c r="S103" s="3" t="n">
        <v>41</v>
      </c>
      <c r="T103" s="4" t="s">
        <v>581</v>
      </c>
    </row>
    <row r="104" customFormat="false" ht="15" hidden="false" customHeight="false" outlineLevel="0" collapsed="false">
      <c r="A104" s="3" t="n">
        <v>103</v>
      </c>
      <c r="B104" s="4" t="s">
        <v>582</v>
      </c>
      <c r="C104" s="4"/>
      <c r="D104" s="5" t="s">
        <v>583</v>
      </c>
      <c r="E104" s="6" t="s">
        <v>34</v>
      </c>
      <c r="F104" s="3" t="n">
        <v>2006</v>
      </c>
      <c r="G104" s="4"/>
      <c r="H104" s="4" t="s">
        <v>584</v>
      </c>
      <c r="I104" s="3" t="s">
        <v>585</v>
      </c>
      <c r="J104" s="7" t="s">
        <v>586</v>
      </c>
      <c r="K104" s="6" t="s">
        <v>26</v>
      </c>
      <c r="L104" s="8" t="s">
        <v>27</v>
      </c>
      <c r="M104" s="6" t="s">
        <v>38</v>
      </c>
      <c r="N104" s="4"/>
      <c r="O104" s="6" t="s">
        <v>30</v>
      </c>
      <c r="P104" s="3" t="n">
        <v>0</v>
      </c>
      <c r="Q104" s="3" t="n">
        <v>0</v>
      </c>
      <c r="R104" s="3" t="n">
        <v>0</v>
      </c>
      <c r="S104" s="3" t="n">
        <v>12</v>
      </c>
      <c r="T104" s="4" t="s">
        <v>464</v>
      </c>
    </row>
    <row r="105" customFormat="false" ht="23.85" hidden="false" customHeight="false" outlineLevel="0" collapsed="false">
      <c r="A105" s="3" t="n">
        <v>104</v>
      </c>
      <c r="B105" s="4" t="s">
        <v>587</v>
      </c>
      <c r="C105" s="4"/>
      <c r="D105" s="5" t="s">
        <v>588</v>
      </c>
      <c r="E105" s="6" t="s">
        <v>34</v>
      </c>
      <c r="F105" s="3" t="n">
        <v>2007</v>
      </c>
      <c r="G105" s="4" t="s">
        <v>577</v>
      </c>
      <c r="H105" s="4"/>
      <c r="I105" s="3" t="s">
        <v>589</v>
      </c>
      <c r="J105" s="7" t="s">
        <v>590</v>
      </c>
      <c r="K105" s="6" t="s">
        <v>26</v>
      </c>
      <c r="L105" s="8" t="s">
        <v>27</v>
      </c>
      <c r="M105" s="6" t="s">
        <v>38</v>
      </c>
      <c r="N105" s="5" t="s">
        <v>580</v>
      </c>
      <c r="O105" s="6" t="s">
        <v>30</v>
      </c>
      <c r="P105" s="3" t="n">
        <v>0</v>
      </c>
      <c r="Q105" s="3" t="n">
        <v>0</v>
      </c>
      <c r="R105" s="3" t="n">
        <v>0</v>
      </c>
      <c r="S105" s="3" t="n">
        <v>19</v>
      </c>
      <c r="T105" s="4"/>
    </row>
    <row r="106" customFormat="false" ht="15" hidden="false" customHeight="false" outlineLevel="0" collapsed="false">
      <c r="A106" s="3" t="n">
        <v>105</v>
      </c>
      <c r="B106" s="4" t="s">
        <v>591</v>
      </c>
      <c r="C106" s="4"/>
      <c r="D106" s="5" t="s">
        <v>592</v>
      </c>
      <c r="E106" s="6" t="s">
        <v>34</v>
      </c>
      <c r="F106" s="3" t="n">
        <v>2006</v>
      </c>
      <c r="G106" s="4" t="s">
        <v>577</v>
      </c>
      <c r="H106" s="4"/>
      <c r="I106" s="3" t="s">
        <v>593</v>
      </c>
      <c r="J106" s="7" t="s">
        <v>594</v>
      </c>
      <c r="K106" s="6" t="s">
        <v>242</v>
      </c>
      <c r="L106" s="11" t="s">
        <v>45</v>
      </c>
      <c r="M106" s="6" t="s">
        <v>38</v>
      </c>
      <c r="N106" s="5" t="s">
        <v>580</v>
      </c>
      <c r="O106" s="6" t="s">
        <v>30</v>
      </c>
      <c r="P106" s="3" t="n">
        <v>0</v>
      </c>
      <c r="Q106" s="3" t="n">
        <v>0</v>
      </c>
      <c r="R106" s="3" t="n">
        <v>0</v>
      </c>
      <c r="S106" s="3" t="n">
        <v>12</v>
      </c>
      <c r="T106" s="4"/>
    </row>
    <row r="107" customFormat="false" ht="15" hidden="false" customHeight="false" outlineLevel="0" collapsed="false">
      <c r="A107" s="3" t="n">
        <v>106</v>
      </c>
      <c r="B107" s="4" t="s">
        <v>595</v>
      </c>
      <c r="C107" s="4"/>
      <c r="D107" s="5" t="s">
        <v>596</v>
      </c>
      <c r="E107" s="6" t="s">
        <v>34</v>
      </c>
      <c r="F107" s="3" t="n">
        <v>2004</v>
      </c>
      <c r="G107" s="4"/>
      <c r="H107" s="4"/>
      <c r="I107" s="3" t="s">
        <v>597</v>
      </c>
      <c r="J107" s="7" t="s">
        <v>598</v>
      </c>
      <c r="K107" s="6" t="s">
        <v>102</v>
      </c>
      <c r="L107" s="12" t="s">
        <v>51</v>
      </c>
      <c r="M107" s="6" t="s">
        <v>38</v>
      </c>
      <c r="N107" s="4"/>
      <c r="O107" s="6" t="s">
        <v>30</v>
      </c>
      <c r="P107" s="3" t="n">
        <v>0</v>
      </c>
      <c r="Q107" s="3" t="n">
        <v>0</v>
      </c>
      <c r="R107" s="3" t="n">
        <v>0</v>
      </c>
      <c r="S107" s="3" t="n">
        <v>7</v>
      </c>
      <c r="T107" s="4" t="s">
        <v>464</v>
      </c>
    </row>
    <row r="108" customFormat="false" ht="57.45" hidden="false" customHeight="false" outlineLevel="0" collapsed="false">
      <c r="A108" s="3" t="n">
        <v>107</v>
      </c>
      <c r="B108" s="4" t="s">
        <v>599</v>
      </c>
      <c r="C108" s="4"/>
      <c r="D108" s="5" t="s">
        <v>600</v>
      </c>
      <c r="E108" s="6" t="s">
        <v>34</v>
      </c>
      <c r="F108" s="3" t="n">
        <v>2004</v>
      </c>
      <c r="G108" s="4" t="s">
        <v>601</v>
      </c>
      <c r="H108" s="4"/>
      <c r="I108" s="3" t="s">
        <v>602</v>
      </c>
      <c r="J108" s="7" t="s">
        <v>603</v>
      </c>
      <c r="K108" s="6" t="s">
        <v>44</v>
      </c>
      <c r="L108" s="11" t="s">
        <v>45</v>
      </c>
      <c r="M108" s="6" t="s">
        <v>38</v>
      </c>
      <c r="N108" s="4"/>
      <c r="O108" s="6" t="s">
        <v>70</v>
      </c>
      <c r="P108" s="3" t="n">
        <v>0</v>
      </c>
      <c r="Q108" s="3" t="n">
        <v>0</v>
      </c>
      <c r="R108" s="3" t="n">
        <v>0</v>
      </c>
      <c r="S108" s="3" t="n">
        <v>0</v>
      </c>
      <c r="T108" s="4" t="s">
        <v>604</v>
      </c>
    </row>
    <row r="109" customFormat="false" ht="23.85" hidden="false" customHeight="false" outlineLevel="0" collapsed="false">
      <c r="A109" s="3" t="n">
        <v>108</v>
      </c>
      <c r="B109" s="4" t="s">
        <v>605</v>
      </c>
      <c r="C109" s="4"/>
      <c r="D109" s="5" t="s">
        <v>606</v>
      </c>
      <c r="E109" s="6" t="s">
        <v>34</v>
      </c>
      <c r="F109" s="3" t="n">
        <v>2002</v>
      </c>
      <c r="G109" s="4" t="s">
        <v>607</v>
      </c>
      <c r="H109" s="4" t="s">
        <v>608</v>
      </c>
      <c r="I109" s="3" t="s">
        <v>609</v>
      </c>
      <c r="J109" s="7" t="s">
        <v>610</v>
      </c>
      <c r="K109" s="6" t="s">
        <v>209</v>
      </c>
      <c r="L109" s="11" t="s">
        <v>45</v>
      </c>
      <c r="M109" s="6" t="s">
        <v>38</v>
      </c>
      <c r="N109" s="4"/>
      <c r="O109" s="6" t="s">
        <v>30</v>
      </c>
      <c r="P109" s="3" t="n">
        <v>0</v>
      </c>
      <c r="Q109" s="3" t="n">
        <v>0</v>
      </c>
      <c r="R109" s="3" t="n">
        <v>0</v>
      </c>
      <c r="S109" s="3" t="n">
        <v>20</v>
      </c>
      <c r="T109" s="4" t="s">
        <v>464</v>
      </c>
    </row>
    <row r="110" customFormat="false" ht="23.85" hidden="false" customHeight="false" outlineLevel="0" collapsed="false">
      <c r="A110" s="3" t="n">
        <v>109</v>
      </c>
      <c r="B110" s="4" t="s">
        <v>611</v>
      </c>
      <c r="C110" s="4" t="s">
        <v>612</v>
      </c>
      <c r="D110" s="5" t="s">
        <v>613</v>
      </c>
      <c r="E110" s="6" t="s">
        <v>34</v>
      </c>
      <c r="F110" s="3" t="n">
        <v>2000</v>
      </c>
      <c r="G110" s="4" t="s">
        <v>614</v>
      </c>
      <c r="H110" s="4"/>
      <c r="I110" s="3" t="s">
        <v>615</v>
      </c>
      <c r="J110" s="7" t="s">
        <v>616</v>
      </c>
      <c r="K110" s="6" t="s">
        <v>242</v>
      </c>
      <c r="L110" s="11" t="s">
        <v>45</v>
      </c>
      <c r="M110" s="6" t="s">
        <v>38</v>
      </c>
      <c r="N110" s="4"/>
      <c r="O110" s="6" t="s">
        <v>30</v>
      </c>
      <c r="P110" s="3" t="n">
        <v>0</v>
      </c>
      <c r="Q110" s="3" t="n">
        <v>0</v>
      </c>
      <c r="R110" s="3" t="n">
        <v>0</v>
      </c>
      <c r="S110" s="3" t="n">
        <v>12</v>
      </c>
      <c r="T110" s="4"/>
    </row>
  </sheetData>
  <autoFilter ref="A1:T110"/>
  <hyperlinks>
    <hyperlink ref="J2" r:id="rId1" display="https://link.springer.com/book/10.1007/978-3-031-32026-2"/>
    <hyperlink ref="J3" r:id="rId2" display="https://link.springer.com/book/10.1007/978-3-031-92008-0"/>
    <hyperlink ref="J4" r:id="rId3" display="https://link.springer.com/book/10.1007/978-3-031-84501-7"/>
    <hyperlink ref="J5" r:id="rId4" display="https://link.springer.com/book/10.1007/978-3-031-81037-4"/>
    <hyperlink ref="J6" r:id="rId5" display="https://link.springer.com/book/10.1007/978-3-031-69080-8"/>
    <hyperlink ref="J7" r:id="rId6" display="https://link.springer.com/book/10.1007/978-3-031-20987-1"/>
    <hyperlink ref="J8" r:id="rId7" display="https://link.springer.com/book/9783032369543"/>
    <hyperlink ref="J9" r:id="rId8" display="https://link.springer.com/book/10.1007/978-3-031-29430-3"/>
    <hyperlink ref="J10" r:id="rId9" display="https://link.springer.com/book/10.1007/978-981-19-0228-4"/>
    <hyperlink ref="J11" r:id="rId10" display="https://link.springer.com/book/10.1007/978-3-032-07519-2"/>
    <hyperlink ref="J12" r:id="rId11" display="https://link.springer.com/book/10.1007/978-981-97-1484-1"/>
    <hyperlink ref="J13" r:id="rId12" display="https://link.springer.com/book/10.1007/978-981-97-2461-1"/>
    <hyperlink ref="J14" r:id="rId13" display="https://link.springer.com/book/10.1007/978-3-031-59160-0"/>
    <hyperlink ref="J15" r:id="rId14" display="https://link.springer.com/book/10.1007/978-3-031-86558-9"/>
    <hyperlink ref="J16" r:id="rId15" display="https://link.springer.com/book/10.1007/978-3-030-87003-4"/>
    <hyperlink ref="J17" r:id="rId16" display="https://link.springer.com/book/9789819738762"/>
    <hyperlink ref="J18" r:id="rId17" display="https://link.springer.com/book/10.1007/978-981-19-7884-5"/>
    <hyperlink ref="J19" r:id="rId18" display="https://link.springer.com/book/10.1007/978-981-19-7761-9"/>
    <hyperlink ref="J20" r:id="rId19" display="https://link.springer.com/book/10.1007/978-981-97-4087-1"/>
    <hyperlink ref="J21" r:id="rId20" display="https://link.springer.com/book/10.1007/978-3-031-45594-0"/>
    <hyperlink ref="J22" r:id="rId21" display="https://link.springer.com/book/10.1007/978-3-031-78534-4"/>
    <hyperlink ref="J23" r:id="rId22" display="https://link.springer.com/book/10.1007/978-3-030-98791-6"/>
    <hyperlink ref="J24" r:id="rId23" display="https://link.springer.com/book/10.1007/978-981-99-2575-9"/>
    <hyperlink ref="J25" r:id="rId24" display="https://link.springer.com/book/10.1007/978-3-030-66352-0"/>
    <hyperlink ref="J26" r:id="rId25" display="https://link.springer.com/book/10.1007/978-3-031-08682-3"/>
    <hyperlink ref="J27" r:id="rId26" display="https://link.springer.com/book/10.1007/978-3-031-04406-9"/>
    <hyperlink ref="J28" r:id="rId27" display="https://link.springer.com/book/10.1007/978-3-031-32072-9"/>
    <hyperlink ref="J29" r:id="rId28" display="https://link.springer.com/book/10.1007/978-3-030-82869-1"/>
    <hyperlink ref="J30" r:id="rId29" display="https://link.springer.com/book/10.1007/978-3-031-27253-0"/>
    <hyperlink ref="J31" r:id="rId30" display="https://link.springer.com/book/10.1007/978-981-19-9612-2"/>
    <hyperlink ref="J32" r:id="rId31" display="https://link.springer.com/book/10.1007/978-3-030-92717-2"/>
    <hyperlink ref="J33" r:id="rId32" display="https://link.springer.com/book/10.1007/978-3-030-94702-6"/>
    <hyperlink ref="J34" r:id="rId33" display="https://link.springer.com/book/10.1007/978-3-031-05002-2"/>
    <hyperlink ref="J35" r:id="rId34" display="https://link.springer.com/book/10.1007/978-3-030-93990-8"/>
    <hyperlink ref="J36" r:id="rId35" display="https://link.springer.com/book/10.1007/978-3-030-46574-2"/>
    <hyperlink ref="J37" r:id="rId36" display="https://link.springer.com/book/10.1007/978-981-16-3488-8"/>
    <hyperlink ref="J38" r:id="rId37" display="https://link.springer.com/book/10.1007/978-3-030-78969-5"/>
    <hyperlink ref="J39" r:id="rId38" display="https://link.springer.com/book/10.1007/978-3-030-79481-1"/>
    <hyperlink ref="J40" r:id="rId39" display="https://link.springer.com/book/10.1007/978-3-030-84950-4"/>
    <hyperlink ref="J41" r:id="rId40" display="https://link.springer.com/book/10.1007/978-3-030-60746-3"/>
    <hyperlink ref="J42" r:id="rId41" display="https://link.springer.com/book/10.1007/978-3-030-69567-5"/>
    <hyperlink ref="J43" r:id="rId42" display="https://link.springer.com/book/10.1007/978-3-030-65335-4"/>
    <hyperlink ref="J44" r:id="rId43" display="https://link.springer.com/book/10.1007/978-3-030-56025-6"/>
    <hyperlink ref="J45" r:id="rId44" display="https://link.springer.com/book/10.1007/978-3-030-63019-5"/>
    <hyperlink ref="J46" r:id="rId45" display="https://link.springer.com/book/10.1007/978-3-030-64159-7"/>
    <hyperlink ref="J47" r:id="rId46" display="https://link.springer.com/book/10.1007/978-3-030-73610-1"/>
    <hyperlink ref="J48" r:id="rId47" display="https://link.springer.com/book/10.1007/978-981-10-7033-4"/>
    <hyperlink ref="J49" r:id="rId48" display="https://link.springer.com/book/10.1007/978-3-030-56670-8"/>
    <hyperlink ref="J50" r:id="rId49" display="https://link.springer.com/book/10.1007/978-3-030-44492-1"/>
    <hyperlink ref="J51" r:id="rId50" display="https://link.springer.com/book/10.1007/978-3-030-40655-4"/>
    <hyperlink ref="J52" r:id="rId51" display="https://link.springer.com/book/10.1007/978-3-030-46646-6"/>
    <hyperlink ref="J53" r:id="rId52" display="https://link.springer.com/book/10.1007/978-3-030-42771-9"/>
    <hyperlink ref="J54" r:id="rId53" display="https://link.springer.com/book/10.1007/978-3-030-14455-5"/>
    <hyperlink ref="J55" r:id="rId54" display="https://link.springer.com/book/10.1007/978-3-030-24773-7"/>
    <hyperlink ref="J56" r:id="rId55" display="https://link.springer.com/book/10.1007/978-3-030-29231-7"/>
    <hyperlink ref="J57" r:id="rId56" display="https://link.springer.com/book/10.1007/978-3-319-78387-1"/>
    <hyperlink ref="J58" r:id="rId57" display="https://link.springer.com/book/10.1007/978-3-030-20925-4"/>
    <hyperlink ref="J59" r:id="rId58" display="https://link.springer.com/book/10.1007/978-3-319-95708-1"/>
    <hyperlink ref="J60" r:id="rId59" display="https://link.springer.com/book/10.1007/978-3-030-13290-3"/>
    <hyperlink ref="J61" r:id="rId60" display="https://link.springer.com/book/10.1007/978-3-030-26207-5"/>
    <hyperlink ref="J62" r:id="rId61" display="https://link.springer.com/book/10.1007/978-3-030-22361-8"/>
    <hyperlink ref="J63" r:id="rId62" display="https://link.springer.com/book/10.1007/978-3-030-14171-4"/>
    <hyperlink ref="J64" r:id="rId63" display="https://link.springer.com/book/10.1007/978-3-319-71498-1"/>
    <hyperlink ref="J65" r:id="rId64" display="https://link.springer.com/book/10.1007/978-3-030-12775-6"/>
    <hyperlink ref="J66" r:id="rId65" display="https://link.springer.com/book/10.1007/978-3-030-14778-5"/>
    <hyperlink ref="J67" r:id="rId66" display="https://link.springer.com/book/10.1007/978-3-030-05396-3"/>
    <hyperlink ref="J68" r:id="rId67" display="https://link.springer.com/book/10.1007/978-981-13-1807-8"/>
    <hyperlink ref="J69" r:id="rId68" display="https://link.springer.com/book/10.1007/978-3-030-05538-7"/>
    <hyperlink ref="J70" r:id="rId69" display="https://link.springer.com/book/10.1007/978-3-319-77152-6"/>
    <hyperlink ref="J71" r:id="rId70" display="https://link.springer.com/book/10.1007/978-3-319-72228-3"/>
    <hyperlink ref="J72" r:id="rId71" display="https://link.springer.com/book/10.1007/978-3-662-56558-2"/>
    <hyperlink ref="J73" r:id="rId72" display="https://link.springer.com/book/10.1007/978-3-319-27805-6"/>
    <hyperlink ref="J74" r:id="rId73" display="https://link.springer.com/book/10.1007/978-3-319-74672-2"/>
    <hyperlink ref="J75" r:id="rId74" display="https://link.springer.com/book/10.1007/978-3-662-49149-2"/>
    <hyperlink ref="J76" r:id="rId75" display="https://link.springer.com/book/10.1007/978-3-319-64771-5"/>
    <hyperlink ref="J77" r:id="rId76" display="https://link.springer.com/book/10.1007/978-3-319-72880-3"/>
    <hyperlink ref="J78" r:id="rId77" display="https://link.springer.com/book/10.1007/978-3-319-61946-0"/>
    <hyperlink ref="J79" r:id="rId78" display="https://link.springer.com/book/10.1007/978-3-319-40178-2"/>
    <hyperlink ref="J80" r:id="rId79" display="https://link.springer.com/book/10.1007/978-3-319-55047-3"/>
    <hyperlink ref="J81" r:id="rId80" display="https://link.springer.com/book/10.1007/978-3-319-53584-5"/>
    <hyperlink ref="J82" r:id="rId81" display="https://link.springer.com/book/10.1007/978-1-4614-0694-5"/>
    <hyperlink ref="J83" r:id="rId82" display="https://link.springer.com/book/10.1007/978-4-431-55778-4"/>
    <hyperlink ref="J84" r:id="rId83" display="https://link.springer.com/book/10.1007/978-3-319-14307-1"/>
    <hyperlink ref="J85" r:id="rId84" display="https://link.springer.com/book/10.1007/978-3-319-13227-3"/>
    <hyperlink ref="J86" r:id="rId85" display="https://link.springer.com/book/10.1007/978-1-4899-7534-8"/>
    <hyperlink ref="J87" r:id="rId86" display="https://link.springer.com/book/10.1007/978-3-319-14412-2"/>
    <hyperlink ref="J88" r:id="rId87" display="https://link.springer.com/book/10.1007/978-1-4899-7575-1"/>
    <hyperlink ref="J89" r:id="rId88" display="https://link.springer.com/book/10.1007/978-3-319-12072-0"/>
    <hyperlink ref="J90" r:id="rId89" display="https://link.springer.com/book/10.1007/978-3-319-10780-6"/>
    <hyperlink ref="J91" r:id="rId90" display="https://link.springer.com/book/10.1007/978-1-4899-7516-4"/>
    <hyperlink ref="J92" r:id="rId91" display="https://link.springer.com/book/10.1007/978-1-4899-7504-1"/>
    <hyperlink ref="J93" r:id="rId92" display="https://link.springer.com/book/10.1007/978-3-7091-1771-2"/>
    <hyperlink ref="J94" r:id="rId93" display="https://link.springer.com/book/10.1007/978-1-4939-0566-9"/>
    <hyperlink ref="J95" r:id="rId94" display="https://link.springer.com/book/10.1007/978-1-4614-4157-1"/>
    <hyperlink ref="J96" r:id="rId95" display="https://link.springer.com/book/10.1007/978-3-642-40117-6"/>
    <hyperlink ref="J97" r:id="rId96" display="https://link.springer.com/book/10.1007/978-3-642-32592-2"/>
    <hyperlink ref="J98" r:id="rId97" display="https://link.springer.com/book/10.1007/978-88-470-1702-3"/>
    <hyperlink ref="J99" r:id="rId98" display="https://link.springer.com/book/10.1007/978-88-470-2035-1"/>
    <hyperlink ref="J100" r:id="rId99" display="https://link.springer.com/book/10.1007/978-3-642-00897-9"/>
    <hyperlink ref="J101" r:id="rId100" display="https://link.springer.com/book/10.1007/978-3-642-03031-4"/>
    <hyperlink ref="J102" r:id="rId101" display="https://link.springer.com/book/10.1007/978-88-470-0854-0"/>
    <hyperlink ref="J103" r:id="rId102" display="https://link.springer.com/book/10.1007/978-3-540-74427-6"/>
    <hyperlink ref="J104" r:id="rId103" display="https://link.springer.com/book/10.1007/978-1-59745-100-0"/>
    <hyperlink ref="J105" r:id="rId104" display="https://link.springer.com/book/10.1007/978-3-540-37694-1"/>
    <hyperlink ref="J106" r:id="rId105" display="https://link.springer.com/book/10.1007/3-540-29066-4"/>
    <hyperlink ref="J107" r:id="rId106" display="https://link.springer.com/book/10.1007/978-3-642-18816-9"/>
    <hyperlink ref="J108" r:id="rId107" display="https://link.springer.com/book/10.1007/b97311"/>
    <hyperlink ref="J109" r:id="rId108" display="https://link.springer.com/book/10.1007/978-1-59259-092-6"/>
    <hyperlink ref="J110" r:id="rId109" display="https://link.springer.com/book/10.1007/978-1-4757-4052-3"/>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1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6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0"/>
  </cols>
  <sheetData>
    <row r="1" customFormat="false" ht="15" hidden="false" customHeight="false" outlineLevel="0" collapsed="false">
      <c r="A1" s="13" t="s">
        <v>617</v>
      </c>
    </row>
    <row r="2" customFormat="false" ht="15" hidden="false" customHeight="false" outlineLevel="0" collapsed="false">
      <c r="A2" s="14" t="s">
        <v>618</v>
      </c>
    </row>
    <row r="3" customFormat="false" ht="15" hidden="false" customHeight="false" outlineLevel="0" collapsed="false">
      <c r="A3" s="14" t="s">
        <v>619</v>
      </c>
    </row>
    <row r="4" customFormat="false" ht="15" hidden="false" customHeight="false" outlineLevel="0" collapsed="false">
      <c r="A4" s="14" t="s">
        <v>620</v>
      </c>
    </row>
    <row r="5" customFormat="false" ht="15" hidden="false" customHeight="false" outlineLevel="0" collapsed="false">
      <c r="A5" s="14" t="s">
        <v>621</v>
      </c>
    </row>
    <row r="8" customFormat="false" ht="15" hidden="false" customHeight="false" outlineLevel="0" collapsed="false">
      <c r="A8" s="15" t="s">
        <v>622</v>
      </c>
    </row>
    <row r="9" customFormat="false" ht="15" hidden="false" customHeight="false" outlineLevel="0" collapsed="false">
      <c r="A9" s="16" t="s">
        <v>623</v>
      </c>
      <c r="B9" s="16" t="s">
        <v>624</v>
      </c>
    </row>
    <row r="10" customFormat="false" ht="15" hidden="false" customHeight="false" outlineLevel="0" collapsed="false">
      <c r="A10" s="17" t="s">
        <v>27</v>
      </c>
      <c r="B10" s="17" t="n">
        <f aca="false">COUNTIF(电子书清单!$L$2:$L$110,A10)</f>
        <v>21</v>
      </c>
    </row>
    <row r="11" customFormat="false" ht="15" hidden="false" customHeight="false" outlineLevel="0" collapsed="false">
      <c r="A11" s="17" t="s">
        <v>45</v>
      </c>
      <c r="B11" s="17" t="n">
        <f aca="false">COUNTIF(电子书清单!$L$2:$L$110,A11)</f>
        <v>43</v>
      </c>
    </row>
    <row r="12" customFormat="false" ht="15" hidden="false" customHeight="false" outlineLevel="0" collapsed="false">
      <c r="A12" s="17" t="s">
        <v>51</v>
      </c>
      <c r="B12" s="17" t="n">
        <f aca="false">COUNTIF(电子书清单!$L$2:$L$110,A12)</f>
        <v>45</v>
      </c>
    </row>
    <row r="13" customFormat="false" ht="15" hidden="false" customHeight="false" outlineLevel="0" collapsed="false">
      <c r="A13" s="15" t="s">
        <v>625</v>
      </c>
      <c r="B13" s="13" t="n">
        <f aca="false">SUM(B10:B12)</f>
        <v>109</v>
      </c>
    </row>
    <row r="15" customFormat="false" ht="15" hidden="false" customHeight="false" outlineLevel="0" collapsed="false">
      <c r="A15" s="15" t="s">
        <v>626</v>
      </c>
    </row>
    <row r="16" customFormat="false" ht="15" hidden="false" customHeight="false" outlineLevel="0" collapsed="false">
      <c r="A16" s="16" t="s">
        <v>623</v>
      </c>
      <c r="B16" s="16" t="s">
        <v>624</v>
      </c>
    </row>
    <row r="17" customFormat="false" ht="15" hidden="false" customHeight="false" outlineLevel="0" collapsed="false">
      <c r="A17" s="17" t="s">
        <v>28</v>
      </c>
      <c r="B17" s="17" t="n">
        <f aca="false">COUNTIF(电子书清单!$M$2:$M$110,A17)</f>
        <v>16</v>
      </c>
    </row>
    <row r="18" customFormat="false" ht="15" hidden="false" customHeight="false" outlineLevel="0" collapsed="false">
      <c r="A18" s="17" t="s">
        <v>38</v>
      </c>
      <c r="B18" s="17" t="n">
        <f aca="false">COUNTIF(电子书清单!$M$2:$M$110,A18)</f>
        <v>90</v>
      </c>
    </row>
    <row r="19" customFormat="false" ht="15" hidden="false" customHeight="false" outlineLevel="0" collapsed="false">
      <c r="A19" s="17" t="s">
        <v>194</v>
      </c>
      <c r="B19" s="17" t="n">
        <f aca="false">COUNTIF(电子书清单!$M$2:$M$110,A19)</f>
        <v>3</v>
      </c>
    </row>
    <row r="20" customFormat="false" ht="15" hidden="false" customHeight="false" outlineLevel="0" collapsed="false">
      <c r="A20" s="15" t="s">
        <v>625</v>
      </c>
      <c r="B20" s="13" t="n">
        <f aca="false">SUM(B17:B19)</f>
        <v>109</v>
      </c>
    </row>
    <row r="22" customFormat="false" ht="15" hidden="false" customHeight="false" outlineLevel="0" collapsed="false">
      <c r="A22" s="15" t="s">
        <v>627</v>
      </c>
    </row>
    <row r="23" customFormat="false" ht="15" hidden="false" customHeight="false" outlineLevel="0" collapsed="false">
      <c r="A23" s="16" t="s">
        <v>623</v>
      </c>
      <c r="B23" s="16" t="s">
        <v>624</v>
      </c>
    </row>
    <row r="24" customFormat="false" ht="15" hidden="false" customHeight="false" outlineLevel="0" collapsed="false">
      <c r="A24" s="17" t="s">
        <v>39</v>
      </c>
      <c r="B24" s="17" t="n">
        <f aca="false">COUNTIF(电子书清单!$O$2:$O$110,A24)</f>
        <v>16</v>
      </c>
    </row>
    <row r="25" customFormat="false" ht="15" hidden="false" customHeight="false" outlineLevel="0" collapsed="false">
      <c r="A25" s="17" t="s">
        <v>628</v>
      </c>
      <c r="B25" s="17" t="n">
        <f aca="false">COUNTIF(电子书清单!$O$2:$O$110,A25)</f>
        <v>2</v>
      </c>
    </row>
    <row r="26" customFormat="false" ht="15" hidden="false" customHeight="false" outlineLevel="0" collapsed="false">
      <c r="A26" s="17" t="s">
        <v>629</v>
      </c>
      <c r="B26" s="17" t="n">
        <f aca="false">COUNTIF(电子书清单!$O$2:$O$110,A26)</f>
        <v>0</v>
      </c>
    </row>
    <row r="27" customFormat="false" ht="15" hidden="false" customHeight="false" outlineLevel="0" collapsed="false">
      <c r="A27" s="17" t="s">
        <v>30</v>
      </c>
      <c r="B27" s="17" t="n">
        <f aca="false">COUNTIF(电子书清单!$O$2:$O$110,A27)</f>
        <v>87</v>
      </c>
    </row>
    <row r="28" customFormat="false" ht="15" hidden="false" customHeight="false" outlineLevel="0" collapsed="false">
      <c r="A28" s="17" t="s">
        <v>630</v>
      </c>
      <c r="B28" s="17" t="n">
        <f aca="false">COUNTIF(电子书清单!$O$2:$O$110,A28)</f>
        <v>4</v>
      </c>
    </row>
    <row r="29" customFormat="false" ht="15" hidden="false" customHeight="false" outlineLevel="0" collapsed="false">
      <c r="A29" s="15" t="s">
        <v>625</v>
      </c>
      <c r="B29" s="13" t="n">
        <f aca="false">SUM(B24:B28)</f>
        <v>109</v>
      </c>
    </row>
    <row r="31" customFormat="false" ht="15" hidden="false" customHeight="false" outlineLevel="0" collapsed="false">
      <c r="A31" s="15" t="s">
        <v>631</v>
      </c>
    </row>
    <row r="32" customFormat="false" ht="15" hidden="false" customHeight="false" outlineLevel="0" collapsed="false">
      <c r="A32" s="16" t="s">
        <v>623</v>
      </c>
      <c r="B32" s="16" t="s">
        <v>624</v>
      </c>
    </row>
    <row r="33" customFormat="false" ht="15" hidden="false" customHeight="false" outlineLevel="0" collapsed="false">
      <c r="A33" s="17" t="s">
        <v>34</v>
      </c>
      <c r="B33" s="17" t="n">
        <f aca="false">COUNTIF(电子书清单!$E$2:$E$110,A33)</f>
        <v>99</v>
      </c>
    </row>
    <row r="34" customFormat="false" ht="15" hidden="false" customHeight="false" outlineLevel="0" collapsed="false">
      <c r="A34" s="17" t="s">
        <v>23</v>
      </c>
      <c r="B34" s="17" t="n">
        <f aca="false">COUNTIF(电子书清单!$E$2:$E$110,A34)</f>
        <v>6</v>
      </c>
    </row>
    <row r="35" customFormat="false" ht="15" hidden="false" customHeight="false" outlineLevel="0" collapsed="false">
      <c r="A35" s="17" t="s">
        <v>74</v>
      </c>
      <c r="B35" s="17" t="n">
        <f aca="false">COUNTIF(电子书清单!$E$2:$E$110,A35)</f>
        <v>2</v>
      </c>
    </row>
    <row r="36" customFormat="false" ht="15" hidden="false" customHeight="false" outlineLevel="0" collapsed="false">
      <c r="A36" s="17" t="s">
        <v>138</v>
      </c>
      <c r="B36" s="17" t="n">
        <f aca="false">COUNTIF(电子书清单!$E$2:$E$110,A36)</f>
        <v>2</v>
      </c>
    </row>
    <row r="37" customFormat="false" ht="15" hidden="false" customHeight="false" outlineLevel="0" collapsed="false">
      <c r="A37" s="15" t="s">
        <v>625</v>
      </c>
      <c r="B37" s="13" t="n">
        <f aca="false">SUM(B33:B36)</f>
        <v>109</v>
      </c>
    </row>
    <row r="39" customFormat="false" ht="15" hidden="false" customHeight="false" outlineLevel="0" collapsed="false">
      <c r="A39" s="15" t="s">
        <v>632</v>
      </c>
    </row>
    <row r="40" customFormat="false" ht="15" hidden="false" customHeight="false" outlineLevel="0" collapsed="false">
      <c r="A40" s="16" t="s">
        <v>623</v>
      </c>
      <c r="B40" s="16" t="s">
        <v>624</v>
      </c>
    </row>
    <row r="41" customFormat="false" ht="15" hidden="false" customHeight="false" outlineLevel="0" collapsed="false">
      <c r="A41" s="17" t="s">
        <v>26</v>
      </c>
      <c r="B41" s="17" t="n">
        <f aca="false">COUNTIF(电子书清单!$K$2:$K$110,A41)</f>
        <v>11</v>
      </c>
    </row>
    <row r="42" customFormat="false" ht="15" hidden="false" customHeight="false" outlineLevel="0" collapsed="false">
      <c r="A42" s="17" t="s">
        <v>633</v>
      </c>
      <c r="B42" s="17" t="n">
        <f aca="false">COUNTIF(电子书清单!$K$2:$K$110,A42)</f>
        <v>7</v>
      </c>
    </row>
    <row r="43" customFormat="false" ht="15" hidden="false" customHeight="false" outlineLevel="0" collapsed="false">
      <c r="A43" s="17" t="s">
        <v>634</v>
      </c>
      <c r="B43" s="17" t="n">
        <f aca="false">COUNTIF(电子书清单!$K$2:$K$110,A43)</f>
        <v>13</v>
      </c>
    </row>
    <row r="44" customFormat="false" ht="15" hidden="false" customHeight="false" outlineLevel="0" collapsed="false">
      <c r="A44" s="17" t="s">
        <v>635</v>
      </c>
      <c r="B44" s="17" t="n">
        <f aca="false">COUNTIF(电子书清单!$K$2:$K$110,A44)</f>
        <v>2</v>
      </c>
    </row>
    <row r="45" customFormat="false" ht="15" hidden="false" customHeight="false" outlineLevel="0" collapsed="false">
      <c r="A45" s="17" t="s">
        <v>636</v>
      </c>
      <c r="B45" s="17" t="n">
        <f aca="false">COUNTIF(电子书清单!$K$2:$K$110,A45)</f>
        <v>2</v>
      </c>
    </row>
    <row r="46" customFormat="false" ht="15" hidden="false" customHeight="false" outlineLevel="0" collapsed="false">
      <c r="A46" s="17" t="s">
        <v>68</v>
      </c>
      <c r="B46" s="17" t="n">
        <f aca="false">COUNTIF(电子书清单!$K$2:$K$110,A46)</f>
        <v>9</v>
      </c>
    </row>
    <row r="47" customFormat="false" ht="15" hidden="false" customHeight="false" outlineLevel="0" collapsed="false">
      <c r="A47" s="17" t="s">
        <v>637</v>
      </c>
      <c r="B47" s="17" t="n">
        <f aca="false">COUNTIF(电子书清单!$K$2:$K$110,A47)</f>
        <v>3</v>
      </c>
    </row>
    <row r="48" customFormat="false" ht="15" hidden="false" customHeight="false" outlineLevel="0" collapsed="false">
      <c r="A48" s="17" t="s">
        <v>102</v>
      </c>
      <c r="B48" s="17" t="n">
        <f aca="false">COUNTIF(电子书清单!$K$2:$K$110,A48)</f>
        <v>8</v>
      </c>
    </row>
    <row r="49" customFormat="false" ht="15" hidden="false" customHeight="false" outlineLevel="0" collapsed="false">
      <c r="A49" s="17" t="s">
        <v>638</v>
      </c>
      <c r="B49" s="17" t="n">
        <f aca="false">COUNTIF(电子书清单!$K$2:$K$110,A49)</f>
        <v>9</v>
      </c>
    </row>
    <row r="50" customFormat="false" ht="15" hidden="false" customHeight="false" outlineLevel="0" collapsed="false">
      <c r="A50" s="17" t="s">
        <v>639</v>
      </c>
      <c r="B50" s="17" t="n">
        <f aca="false">COUNTIF(电子书清单!$K$2:$K$110,A50)</f>
        <v>11</v>
      </c>
    </row>
    <row r="51" customFormat="false" ht="15" hidden="false" customHeight="false" outlineLevel="0" collapsed="false">
      <c r="A51" s="17" t="s">
        <v>640</v>
      </c>
      <c r="B51" s="17" t="n">
        <f aca="false">COUNTIF(电子书清单!$K$2:$K$110,A51)</f>
        <v>6</v>
      </c>
    </row>
    <row r="52" customFormat="false" ht="15" hidden="false" customHeight="false" outlineLevel="0" collapsed="false">
      <c r="A52" s="17" t="s">
        <v>162</v>
      </c>
      <c r="B52" s="17" t="n">
        <f aca="false">COUNTIF(电子书清单!$K$2:$K$110,A52)</f>
        <v>3</v>
      </c>
    </row>
    <row r="53" customFormat="false" ht="15" hidden="false" customHeight="false" outlineLevel="0" collapsed="false">
      <c r="A53" s="17" t="s">
        <v>641</v>
      </c>
      <c r="B53" s="17" t="n">
        <f aca="false">COUNTIF(电子书清单!$K$2:$K$110,A53)</f>
        <v>2</v>
      </c>
    </row>
    <row r="54" customFormat="false" ht="15" hidden="false" customHeight="false" outlineLevel="0" collapsed="false">
      <c r="A54" s="17" t="s">
        <v>642</v>
      </c>
      <c r="B54" s="17" t="n">
        <f aca="false">COUNTIF(电子书清单!$K$2:$K$110,A54)</f>
        <v>3</v>
      </c>
    </row>
    <row r="55" customFormat="false" ht="15" hidden="false" customHeight="false" outlineLevel="0" collapsed="false">
      <c r="A55" s="17" t="s">
        <v>643</v>
      </c>
      <c r="B55" s="17" t="n">
        <f aca="false">COUNTIF(电子书清单!$K$2:$K$110,A55)</f>
        <v>5</v>
      </c>
    </row>
    <row r="56" customFormat="false" ht="15" hidden="false" customHeight="false" outlineLevel="0" collapsed="false">
      <c r="A56" s="17" t="s">
        <v>231</v>
      </c>
      <c r="B56" s="17" t="n">
        <f aca="false">COUNTIF(电子书清单!$K$2:$K$110,A56)</f>
        <v>6</v>
      </c>
    </row>
    <row r="57" customFormat="false" ht="15" hidden="false" customHeight="false" outlineLevel="0" collapsed="false">
      <c r="A57" s="17" t="s">
        <v>236</v>
      </c>
      <c r="B57" s="17" t="n">
        <f aca="false">COUNTIF(电子书清单!$K$2:$K$110,A57)</f>
        <v>3</v>
      </c>
    </row>
    <row r="58" customFormat="false" ht="15" hidden="false" customHeight="false" outlineLevel="0" collapsed="false">
      <c r="A58" s="17" t="s">
        <v>644</v>
      </c>
      <c r="B58" s="17" t="n">
        <f aca="false">COUNTIF(电子书清单!$K$2:$K$110,A58)</f>
        <v>6</v>
      </c>
    </row>
    <row r="59" customFormat="false" ht="15" hidden="false" customHeight="false" outlineLevel="0" collapsed="false">
      <c r="A59" s="15" t="s">
        <v>625</v>
      </c>
      <c r="B59" s="13" t="n">
        <f aca="false">SUM(B41:B58)</f>
        <v>109</v>
      </c>
    </row>
    <row r="61" customFormat="false" ht="15" hidden="false" customHeight="false" outlineLevel="0" collapsed="false">
      <c r="A61" s="15" t="s">
        <v>645</v>
      </c>
    </row>
    <row r="62" customFormat="false" ht="15" hidden="false" customHeight="false" outlineLevel="0" collapsed="false">
      <c r="A62" s="16" t="s">
        <v>646</v>
      </c>
      <c r="B62" s="16" t="s">
        <v>624</v>
      </c>
    </row>
    <row r="63" customFormat="false" ht="15" hidden="false" customHeight="false" outlineLevel="0" collapsed="false">
      <c r="A63" s="18" t="s">
        <v>647</v>
      </c>
      <c r="B63" s="17" t="n">
        <f aca="false">COUNTIFS(电子书清单!$F$2:$F$110,"&gt;=2000",电子书清单!$F$2:$F$110,"&lt;=2009")</f>
        <v>9</v>
      </c>
    </row>
    <row r="64" customFormat="false" ht="15" hidden="false" customHeight="false" outlineLevel="0" collapsed="false">
      <c r="A64" s="18" t="s">
        <v>648</v>
      </c>
      <c r="B64" s="17" t="n">
        <f aca="false">COUNTIFS(电子书清单!$F$2:$F$110,"&gt;=2010",电子书清单!$F$2:$F$110,"&lt;=2019")</f>
        <v>43</v>
      </c>
    </row>
    <row r="65" customFormat="false" ht="15" hidden="false" customHeight="false" outlineLevel="0" collapsed="false">
      <c r="A65" s="18" t="s">
        <v>649</v>
      </c>
      <c r="B65" s="17" t="n">
        <f aca="false">COUNTIFS(电子书清单!$F$2:$F$110,"&gt;=2020",电子书清单!$F$2:$F$110,"&lt;=2027")</f>
        <v>57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2026-10-08T16:37:46Z</dcterms:created>
  <dc:creator>openpyxl</dc:creator>
  <dc:description/>
  <dc:language>en-US</dc:language>
  <cp:lastModifiedBy/>
  <dcterms:modified xsi:type="dcterms:W3CDTF">2026-10-08T16:37:46Z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