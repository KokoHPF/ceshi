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电子书清单" sheetId="1" state="visible" r:id="rId3"/>
    <sheet name="统计汇总" sheetId="2" state="visible" r:id="rId4"/>
  </sheets>
  <definedNames>
    <definedName function="false" hidden="true" localSheetId="0" name="_xlnm._FilterDatabase" vbProcedure="false">电子书清单!$A$1:$K$110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<sst xmlns="http://schemas.openxmlformats.org/spreadsheetml/2006/main" count="814" uniqueCount="474">
  <si>
    <t xml:space="preserve">序号</t>
  </si>
  <si>
    <t xml:space="preserve">书名</t>
  </si>
  <si>
    <r>
      <rPr>
        <b val="true"/>
        <sz val="11"/>
        <color rgb="FFFFFFFF"/>
        <rFont val="WenQuanYi Zen Hei"/>
        <family val="2"/>
      </rPr>
      <t xml:space="preserve">副标题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版次</t>
    </r>
  </si>
  <si>
    <t xml:space="preserve">类型</t>
  </si>
  <si>
    <t xml:space="preserve">出版年</t>
  </si>
  <si>
    <r>
      <rPr>
        <b val="true"/>
        <sz val="11"/>
        <color rgb="FFFFFFFF"/>
        <rFont val="WenQuanYi Zen Hei"/>
        <family val="2"/>
      </rPr>
      <t xml:space="preserve">作者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编者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检索页显示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</si>
  <si>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所属丛书</t>
  </si>
  <si>
    <t xml:space="preserve">DOI / ISBN</t>
  </si>
  <si>
    <t xml:space="preserve">链接</t>
  </si>
  <si>
    <t xml:space="preserve">主题分类</t>
  </si>
  <si>
    <t xml:space="preserve">与骨科康复相关度</t>
  </si>
  <si>
    <t xml:space="preserve">Orthopedic Rehabilitation</t>
  </si>
  <si>
    <t xml:space="preserve">Principles and Practice</t>
  </si>
  <si>
    <t xml:space="preserve">教科书</t>
  </si>
  <si>
    <t xml:space="preserve">10.1007/978-3-031-32026-2</t>
  </si>
  <si>
    <t xml:space="preserve">https://link.springer.com/book/10.1007/978-3-031-32026-2</t>
  </si>
  <si>
    <t xml:space="preserve">骨科康复总论</t>
  </si>
  <si>
    <t xml:space="preserve">高</t>
  </si>
  <si>
    <t xml:space="preserve">Rehabilitation for Nerve Transfers of the Upper Extremity</t>
  </si>
  <si>
    <t xml:space="preserve">A Clinical Manual</t>
  </si>
  <si>
    <t xml:space="preserve">图书</t>
  </si>
  <si>
    <t xml:space="preserve">10.1007/978-3-031-92008-0</t>
  </si>
  <si>
    <t xml:space="preserve">https://link.springer.com/book/10.1007/978-3-031-92008-0</t>
  </si>
  <si>
    <r>
      <rPr>
        <sz val="10"/>
        <rFont val="WenQuanYi Zen Hei"/>
        <family val="2"/>
      </rPr>
      <t xml:space="preserve">手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上肢</t>
    </r>
  </si>
  <si>
    <t xml:space="preserve">Anterior Cruciate Ligament Injuries Throughout the Life Span</t>
  </si>
  <si>
    <t xml:space="preserve">10.1007/978-3-031-84501-7</t>
  </si>
  <si>
    <t xml:space="preserve">https://link.springer.com/book/10.1007/978-3-031-84501-7</t>
  </si>
  <si>
    <r>
      <rPr>
        <sz val="10"/>
        <rFont val="WenQuanYi Zen Hei"/>
        <family val="2"/>
      </rPr>
      <t xml:space="preserve">膝</t>
    </r>
    <r>
      <rPr>
        <sz val="10"/>
        <rFont val="Arial"/>
        <family val="0"/>
        <charset val="1"/>
      </rPr>
      <t xml:space="preserve">/ACL</t>
    </r>
  </si>
  <si>
    <t xml:space="preserve">中</t>
  </si>
  <si>
    <t xml:space="preserve">Video Atlas of Neuromusculoskeletal Ultrasound</t>
  </si>
  <si>
    <t xml:space="preserve">10.1007/978-3-031-81037-4</t>
  </si>
  <si>
    <t xml:space="preserve">https://link.springer.com/book/10.1007/978-3-031-81037-4</t>
  </si>
  <si>
    <r>
      <rPr>
        <sz val="10"/>
        <rFont val="WenQuanYi Zen Hei"/>
        <family val="2"/>
      </rPr>
      <t xml:space="preserve">影像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超声</t>
    </r>
  </si>
  <si>
    <t xml:space="preserve">低</t>
  </si>
  <si>
    <t xml:space="preserve">Telerehabilitation</t>
  </si>
  <si>
    <t xml:space="preserve">TELe-Health</t>
  </si>
  <si>
    <t xml:space="preserve">10.1007/978-3-031-69080-8</t>
  </si>
  <si>
    <t xml:space="preserve">https://link.springer.com/book/10.1007/978-3-031-69080-8</t>
  </si>
  <si>
    <r>
      <rPr>
        <sz val="10"/>
        <rFont val="WenQuanYi Zen Hei"/>
        <family val="2"/>
      </rPr>
      <t xml:space="preserve">康复技术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远程康复</t>
    </r>
  </si>
  <si>
    <t xml:space="preserve">Textbook of Musculoskeletal Disorders</t>
  </si>
  <si>
    <t xml:space="preserve">10.1007/978-3-031-20987-1</t>
  </si>
  <si>
    <t xml:space="preserve">https://link.springer.com/book/10.1007/978-3-031-20987-1</t>
  </si>
  <si>
    <t xml:space="preserve">Handbook of Esports Medicine</t>
  </si>
  <si>
    <t xml:space="preserve">Clinical Aspects of Competitive Video Gaming (2nd ed.)</t>
  </si>
  <si>
    <t xml:space="preserve">ISBN 9783032369543</t>
  </si>
  <si>
    <t xml:space="preserve">https://link.springer.com/book/9783032369543</t>
  </si>
  <si>
    <t xml:space="preserve">运动医学</t>
  </si>
  <si>
    <t xml:space="preserve">Knee Arthroscopy and Knee Preservation Surgery</t>
  </si>
  <si>
    <t xml:space="preserve">参考工具书</t>
  </si>
  <si>
    <t xml:space="preserve">10.1007/978-3-031-29430-3</t>
  </si>
  <si>
    <t xml:space="preserve">https://link.springer.com/book/10.1007/978-3-031-29430-3</t>
  </si>
  <si>
    <t xml:space="preserve">Management and Rehabilitation of Spinal Cord Injuries</t>
  </si>
  <si>
    <t xml:space="preserve">(2nd ed.)</t>
  </si>
  <si>
    <t xml:space="preserve">Hyun-Yoon Ko</t>
  </si>
  <si>
    <t xml:space="preserve">10.1007/978-981-19-0228-4</t>
  </si>
  <si>
    <t xml:space="preserve">https://link.springer.com/book/10.1007/978-981-19-0228-4</t>
  </si>
  <si>
    <r>
      <rPr>
        <sz val="10"/>
        <rFont val="WenQuanYi Zen Hei"/>
        <family val="2"/>
      </rPr>
      <t xml:space="preserve">脊柱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脊髓</t>
    </r>
  </si>
  <si>
    <t xml:space="preserve">Multidisciplinary Spine Tumor Management</t>
  </si>
  <si>
    <t xml:space="preserve">A Modern Approach</t>
  </si>
  <si>
    <t xml:space="preserve">10.1007/978-3-032-07519-2</t>
  </si>
  <si>
    <t xml:space="preserve">https://link.springer.com/book/10.1007/978-3-032-07519-2</t>
  </si>
  <si>
    <t xml:space="preserve">Medical Robot Technology</t>
  </si>
  <si>
    <t xml:space="preserve">Jingang Jiang, Dianhao Wu, ... Xuesong Dai</t>
  </si>
  <si>
    <t xml:space="preserve">Advanced and Intelligent Manufacturing in China</t>
  </si>
  <si>
    <t xml:space="preserve">10.1007/978-981-97-1484-1</t>
  </si>
  <si>
    <t xml:space="preserve">https://link.springer.com/book/10.1007/978-981-97-1484-1</t>
  </si>
  <si>
    <t xml:space="preserve">Advances in Total Hip Arthroplasty</t>
  </si>
  <si>
    <t xml:space="preserve">10.1007/978-981-97-2461-1</t>
  </si>
  <si>
    <t xml:space="preserve">https://link.springer.com/book/10.1007/978-981-97-2461-1</t>
  </si>
  <si>
    <t xml:space="preserve">关节置换</t>
  </si>
  <si>
    <t xml:space="preserve">One-Stage Septic Revision Arthroplasty</t>
  </si>
  <si>
    <t xml:space="preserve">Principles and Management</t>
  </si>
  <si>
    <t xml:space="preserve">10.1007/978-3-031-59160-0</t>
  </si>
  <si>
    <t xml:space="preserve">https://link.springer.com/book/10.1007/978-3-031-59160-0</t>
  </si>
  <si>
    <t xml:space="preserve">Contemporary and Global Perspectives in Physical Therapy</t>
  </si>
  <si>
    <t xml:space="preserve">10.1007/978-3-031-86558-9</t>
  </si>
  <si>
    <t xml:space="preserve">https://link.springer.com/book/10.1007/978-3-031-86558-9</t>
  </si>
  <si>
    <t xml:space="preserve">Critical Rehabilitation for Partial and Total Knee Arthroplasty</t>
  </si>
  <si>
    <t xml:space="preserve">Guidelines and Objective Testing to Allow Return to Physical Function, Recreational and Sports Activities</t>
  </si>
  <si>
    <t xml:space="preserve">10.1007/978-3-030-87003-4</t>
  </si>
  <si>
    <t xml:space="preserve">https://link.springer.com/book/10.1007/978-3-030-87003-4</t>
  </si>
  <si>
    <t xml:space="preserve">Low Back Ache</t>
  </si>
  <si>
    <t xml:space="preserve">A comprehensive guide to management</t>
  </si>
  <si>
    <t xml:space="preserve">ISBN 9789819738762</t>
  </si>
  <si>
    <t xml:space="preserve">https://link.springer.com/book/9789819738762</t>
  </si>
  <si>
    <r>
      <rPr>
        <sz val="10"/>
        <rFont val="WenQuanYi Zen Hei"/>
        <family val="2"/>
      </rPr>
      <t xml:space="preserve">脊柱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腰痛</t>
    </r>
  </si>
  <si>
    <t xml:space="preserve">Arthroscopy and Endoscopy of the Shoulder</t>
  </si>
  <si>
    <t xml:space="preserve">Principle and Practice</t>
  </si>
  <si>
    <t xml:space="preserve">10.1007/978-981-19-7884-5</t>
  </si>
  <si>
    <t xml:space="preserve">https://link.springer.com/book/10.1007/978-981-19-7884-5</t>
  </si>
  <si>
    <r>
      <rPr>
        <sz val="10"/>
        <rFont val="WenQuanYi Zen Hei"/>
        <family val="2"/>
      </rPr>
      <t xml:space="preserve">肩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肘</t>
    </r>
  </si>
  <si>
    <t xml:space="preserve">Endoscopy of the Spine</t>
  </si>
  <si>
    <t xml:space="preserve">10.1007/978-981-19-7761-9</t>
  </si>
  <si>
    <t xml:space="preserve">https://link.springer.com/book/10.1007/978-981-19-7761-9</t>
  </si>
  <si>
    <t xml:space="preserve">在线持续更新参考书</t>
  </si>
  <si>
    <t xml:space="preserve">10.1007/978-981-97-4087-1</t>
  </si>
  <si>
    <t xml:space="preserve">https://link.springer.com/book/10.1007/978-981-97-4087-1</t>
  </si>
  <si>
    <t xml:space="preserve">The Achilles Tendon</t>
  </si>
  <si>
    <t xml:space="preserve">Pathology, Treatment and Rehabilitation</t>
  </si>
  <si>
    <t xml:space="preserve">10.1007/978-3-031-45594-0</t>
  </si>
  <si>
    <t xml:space="preserve">https://link.springer.com/book/10.1007/978-3-031-45594-0</t>
  </si>
  <si>
    <r>
      <rPr>
        <sz val="10"/>
        <rFont val="WenQuanYi Zen Hei"/>
        <family val="2"/>
      </rPr>
      <t xml:space="preserve">足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踝</t>
    </r>
  </si>
  <si>
    <t xml:space="preserve">Low Back Pain and Sciatica</t>
  </si>
  <si>
    <t xml:space="preserve">A New Pathogenetic Model and Treatment Principles</t>
  </si>
  <si>
    <t xml:space="preserve">Luigi Tesio</t>
  </si>
  <si>
    <t xml:space="preserve">10.1007/978-3-031-78534-4</t>
  </si>
  <si>
    <t xml:space="preserve">https://link.springer.com/book/10.1007/978-3-031-78534-4</t>
  </si>
  <si>
    <t xml:space="preserve">Percutaneous and Minimally Invasive Foot Surgery</t>
  </si>
  <si>
    <t xml:space="preserve">10.1007/978-3-030-98791-6</t>
  </si>
  <si>
    <t xml:space="preserve">https://link.springer.com/book/10.1007/978-3-030-98791-6</t>
  </si>
  <si>
    <t xml:space="preserve">Textbook of Veterinary Orthopaedic Surgery</t>
  </si>
  <si>
    <t xml:space="preserve">Hari Prasad Aithal, Amar Pal, ... Abhijit M Pawde</t>
  </si>
  <si>
    <t xml:space="preserve">10.1007/978-981-99-2575-9</t>
  </si>
  <si>
    <t xml:space="preserve">https://link.springer.com/book/10.1007/978-981-99-2575-9</t>
  </si>
  <si>
    <t xml:space="preserve">其他</t>
  </si>
  <si>
    <t xml:space="preserve">Rehabilitation After Limb Salvage Surgery</t>
  </si>
  <si>
    <t xml:space="preserve">10.1007/978-3-030-66352-0</t>
  </si>
  <si>
    <t xml:space="preserve">https://link.springer.com/book/10.1007/978-3-030-66352-0</t>
  </si>
  <si>
    <r>
      <rPr>
        <sz val="10"/>
        <rFont val="WenQuanYi Zen Hei"/>
        <family val="2"/>
      </rPr>
      <t xml:space="preserve">骨肿瘤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截肢</t>
    </r>
  </si>
  <si>
    <t xml:space="preserve">Ligamentous Injuries of the Foot and Ankle</t>
  </si>
  <si>
    <t xml:space="preserve">Diagnosis, Management and Rehabilitation</t>
  </si>
  <si>
    <t xml:space="preserve">10.1007/978-3-031-08682-3</t>
  </si>
  <si>
    <t xml:space="preserve">https://link.springer.com/book/10.1007/978-3-031-08682-3</t>
  </si>
  <si>
    <t xml:space="preserve">Orthopedics for Physician Assistant and Nurse Practitioner Students</t>
  </si>
  <si>
    <t xml:space="preserve">An Introductory Guide</t>
  </si>
  <si>
    <t xml:space="preserve">John A. Gracy</t>
  </si>
  <si>
    <t xml:space="preserve">10.1007/978-3-031-04406-9</t>
  </si>
  <si>
    <t xml:space="preserve">https://link.springer.com/book/10.1007/978-3-031-04406-9</t>
  </si>
  <si>
    <t xml:space="preserve">Pediatric and Adult Hand Fractures</t>
  </si>
  <si>
    <t xml:space="preserve">A Clinical Guide to Management</t>
  </si>
  <si>
    <t xml:space="preserve">10.1007/978-3-031-32072-9</t>
  </si>
  <si>
    <t xml:space="preserve">https://link.springer.com/book/10.1007/978-3-031-32072-9</t>
  </si>
  <si>
    <t xml:space="preserve">10.1007/978-3-030-82869-1</t>
  </si>
  <si>
    <t xml:space="preserve">https://link.springer.com/book/10.1007/978-3-030-82869-1</t>
  </si>
  <si>
    <t xml:space="preserve">Spondylolisthesis</t>
  </si>
  <si>
    <t xml:space="preserve">Diagnosis, Non-Surgical Management, and Surgical Techniques (2nd ed.)</t>
  </si>
  <si>
    <t xml:space="preserve">10.1007/978-3-031-27253-0</t>
  </si>
  <si>
    <t xml:space="preserve">https://link.springer.com/book/10.1007/978-3-031-27253-0</t>
  </si>
  <si>
    <t xml:space="preserve">Atlas of Finger Reconstruction</t>
  </si>
  <si>
    <t xml:space="preserve">Techniques and Cases</t>
  </si>
  <si>
    <t xml:space="preserve">Jian Lin, Jianli Wang, ... Tianhao Zhang</t>
  </si>
  <si>
    <t xml:space="preserve">10.1007/978-981-19-9612-2</t>
  </si>
  <si>
    <t xml:space="preserve">https://link.springer.com/book/10.1007/978-981-19-9612-2</t>
  </si>
  <si>
    <t xml:space="preserve">Neurosurgery for Spasticity</t>
  </si>
  <si>
    <t xml:space="preserve">A Practical Guide for Treating Children and Adults (2nd ed.)</t>
  </si>
  <si>
    <t xml:space="preserve">Marc Sindou, Manon Duraffourg, George Georgoulis</t>
  </si>
  <si>
    <t xml:space="preserve">10.1007/978-3-030-92717-2</t>
  </si>
  <si>
    <t xml:space="preserve">https://link.springer.com/book/10.1007/978-3-030-92717-2</t>
  </si>
  <si>
    <r>
      <rPr>
        <sz val="10"/>
        <rFont val="WenQuanYi Zen Hei"/>
        <family val="2"/>
      </rPr>
      <t xml:space="preserve">神经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痉挛</t>
    </r>
  </si>
  <si>
    <t xml:space="preserve">Fundamentals of the Shoulder</t>
  </si>
  <si>
    <t xml:space="preserve">10.1007/978-3-030-94702-6</t>
  </si>
  <si>
    <t xml:space="preserve">https://link.springer.com/book/10.1007/978-3-030-94702-6</t>
  </si>
  <si>
    <t xml:space="preserve">Rarer Arthropathies</t>
  </si>
  <si>
    <t xml:space="preserve">Rare Diseases of the Immune System</t>
  </si>
  <si>
    <t xml:space="preserve">10.1007/978-3-031-05002-2</t>
  </si>
  <si>
    <t xml:space="preserve">https://link.springer.com/book/10.1007/978-3-031-05002-2</t>
  </si>
  <si>
    <r>
      <rPr>
        <sz val="10"/>
        <rFont val="WenQuanYi Zen Hei"/>
        <family val="2"/>
      </rPr>
      <t xml:space="preserve">风湿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血友病</t>
    </r>
  </si>
  <si>
    <t xml:space="preserve">Advances in Hemophilia Treatment</t>
  </si>
  <si>
    <t xml:space="preserve">From Genetics to Joint Health</t>
  </si>
  <si>
    <t xml:space="preserve">10.1007/978-3-030-93990-8</t>
  </si>
  <si>
    <t xml:space="preserve">https://link.springer.com/book/10.1007/978-3-030-93990-8</t>
  </si>
  <si>
    <t xml:space="preserve">Orthopedic Care of Patients with Cerebral Palsy</t>
  </si>
  <si>
    <t xml:space="preserve">A Clinical Guide to Evaluation and Management across the Lifespan</t>
  </si>
  <si>
    <t xml:space="preserve">10.1007/978-3-030-46574-2</t>
  </si>
  <si>
    <t xml:space="preserve">https://link.springer.com/book/10.1007/978-3-030-46574-2</t>
  </si>
  <si>
    <t xml:space="preserve">儿科</t>
  </si>
  <si>
    <t xml:space="preserve">Endoscopy of the Hip and Knee</t>
  </si>
  <si>
    <t xml:space="preserve">10.1007/978-981-16-3488-8</t>
  </si>
  <si>
    <t xml:space="preserve">https://link.springer.com/book/10.1007/978-981-16-3488-8</t>
  </si>
  <si>
    <t xml:space="preserve">髋</t>
  </si>
  <si>
    <t xml:space="preserve">Geriatric Hip Fractures</t>
  </si>
  <si>
    <t xml:space="preserve">A Practical Approach</t>
  </si>
  <si>
    <t xml:space="preserve">10.1007/978-3-030-78969-5</t>
  </si>
  <si>
    <t xml:space="preserve">https://link.springer.com/book/10.1007/978-3-030-78969-5</t>
  </si>
  <si>
    <r>
      <rPr>
        <sz val="10"/>
        <rFont val="WenQuanYi Zen Hei"/>
        <family val="2"/>
      </rPr>
      <t xml:space="preserve">创伤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骨折</t>
    </r>
  </si>
  <si>
    <t xml:space="preserve">The Failed Rotator Cuff</t>
  </si>
  <si>
    <t xml:space="preserve">Diagnosis and Management</t>
  </si>
  <si>
    <t xml:space="preserve">10.1007/978-3-030-79481-1</t>
  </si>
  <si>
    <t xml:space="preserve">https://link.springer.com/book/10.1007/978-3-030-79481-1</t>
  </si>
  <si>
    <t xml:space="preserve">Return-to-Play after Lower Limb Muscle Injury in Football</t>
  </si>
  <si>
    <t xml:space="preserve">The Italian Consensus Conference Guidelines</t>
  </si>
  <si>
    <t xml:space="preserve">Gian Nicola Bisciotti, Alessandro Corsini, Piero Volpi</t>
  </si>
  <si>
    <t xml:space="preserve">10.1007/978-3-030-84950-4</t>
  </si>
  <si>
    <t xml:space="preserve">https://link.springer.com/book/10.1007/978-3-030-84950-4</t>
  </si>
  <si>
    <t xml:space="preserve">Bionic Limb Reconstruction</t>
  </si>
  <si>
    <t xml:space="preserve">10.1007/978-3-030-60746-3</t>
  </si>
  <si>
    <t xml:space="preserve">https://link.springer.com/book/10.1007/978-3-030-60746-3</t>
  </si>
  <si>
    <t xml:space="preserve">Elbow Ulnar Collateral Ligament Injury</t>
  </si>
  <si>
    <t xml:space="preserve">A Guide to Diagnosis and Treatment (2nd ed.)</t>
  </si>
  <si>
    <t xml:space="preserve">10.1007/978-3-030-69567-5</t>
  </si>
  <si>
    <t xml:space="preserve">https://link.springer.com/book/10.1007/978-3-030-69567-5</t>
  </si>
  <si>
    <t xml:space="preserve">Tendinopathy</t>
  </si>
  <si>
    <t xml:space="preserve">From Basic Science to Clinical Management</t>
  </si>
  <si>
    <t xml:space="preserve">10.1007/978-3-030-65335-4</t>
  </si>
  <si>
    <t xml:space="preserve">https://link.springer.com/book/10.1007/978-3-030-65335-4</t>
  </si>
  <si>
    <t xml:space="preserve">Proximal Hamstring Tears</t>
  </si>
  <si>
    <t xml:space="preserve">From Endoscopic Repair to Open Reconstruction</t>
  </si>
  <si>
    <t xml:space="preserve">10.1007/978-3-030-56025-6</t>
  </si>
  <si>
    <t xml:space="preserve">https://link.springer.com/book/10.1007/978-3-030-56025-6</t>
  </si>
  <si>
    <t xml:space="preserve">The Management of Biceps Pathology</t>
  </si>
  <si>
    <t xml:space="preserve">A Clinical Guide from the Shoulder to the Elbow</t>
  </si>
  <si>
    <t xml:space="preserve">10.1007/978-3-030-63019-5</t>
  </si>
  <si>
    <t xml:space="preserve">https://link.springer.com/book/10.1007/978-3-030-63019-5</t>
  </si>
  <si>
    <t xml:space="preserve">Congenital Anomalies of the Upper Extremity</t>
  </si>
  <si>
    <t xml:space="preserve">Etiology and Management (2nd ed.)</t>
  </si>
  <si>
    <t xml:space="preserve">10.1007/978-3-030-64159-7</t>
  </si>
  <si>
    <t xml:space="preserve">https://link.springer.com/book/10.1007/978-3-030-64159-7</t>
  </si>
  <si>
    <t xml:space="preserve">Clinical Aspects of Competitive Video Gaming</t>
  </si>
  <si>
    <t xml:space="preserve">10.1007/978-3-030-73610-1</t>
  </si>
  <si>
    <t xml:space="preserve">https://link.springer.com/book/10.1007/978-3-030-73610-1</t>
  </si>
  <si>
    <t xml:space="preserve">10.1007/978-981-10-7033-4</t>
  </si>
  <si>
    <t xml:space="preserve">https://link.springer.com/book/10.1007/978-981-10-7033-4</t>
  </si>
  <si>
    <t xml:space="preserve">Immunology and Rheumatology in Questions</t>
  </si>
  <si>
    <t xml:space="preserve">10.1007/978-3-030-56670-8</t>
  </si>
  <si>
    <t xml:space="preserve">https://link.springer.com/book/10.1007/978-3-030-56670-8</t>
  </si>
  <si>
    <t xml:space="preserve">Comprehensive Treatment of Knee Osteoarthritis</t>
  </si>
  <si>
    <t xml:space="preserve">Recent Advances</t>
  </si>
  <si>
    <t xml:space="preserve">10.1007/978-3-030-44492-1</t>
  </si>
  <si>
    <t xml:space="preserve">https://link.springer.com/book/10.1007/978-3-030-44492-1</t>
  </si>
  <si>
    <t xml:space="preserve">Operational and Medical Management of Explosive and Blast Incidents</t>
  </si>
  <si>
    <t xml:space="preserve">10.1007/978-3-030-40655-4</t>
  </si>
  <si>
    <t xml:space="preserve">https://link.springer.com/book/10.1007/978-3-030-40655-4</t>
  </si>
  <si>
    <t xml:space="preserve">The Peroneal Tendons</t>
  </si>
  <si>
    <t xml:space="preserve">A Clinical Guide to Evaluation and Management</t>
  </si>
  <si>
    <t xml:space="preserve">10.1007/978-3-030-46646-6</t>
  </si>
  <si>
    <t xml:space="preserve">https://link.springer.com/book/10.1007/978-3-030-46646-6</t>
  </si>
  <si>
    <t xml:space="preserve">Regenerative Medicine for Spine and Joint Pain</t>
  </si>
  <si>
    <t xml:space="preserve">10.1007/978-3-030-42771-9</t>
  </si>
  <si>
    <t xml:space="preserve">https://link.springer.com/book/10.1007/978-3-030-42771-9</t>
  </si>
  <si>
    <t xml:space="preserve">Elbow Arthroplasty</t>
  </si>
  <si>
    <t xml:space="preserve">Current Techniques and Complications</t>
  </si>
  <si>
    <t xml:space="preserve">10.1007/978-3-030-14455-5</t>
  </si>
  <si>
    <t xml:space="preserve">https://link.springer.com/book/10.1007/978-3-030-14455-5</t>
  </si>
  <si>
    <t xml:space="preserve">Revision Total Joint Arthroplasty</t>
  </si>
  <si>
    <t xml:space="preserve">10.1007/978-3-030-24773-7</t>
  </si>
  <si>
    <t xml:space="preserve">https://link.springer.com/book/10.1007/978-3-030-24773-7</t>
  </si>
  <si>
    <t xml:space="preserve">Ankle Joint Arthroscopy</t>
  </si>
  <si>
    <t xml:space="preserve">A Step-by-Step Guide</t>
  </si>
  <si>
    <t xml:space="preserve">10.1007/978-3-030-29231-7</t>
  </si>
  <si>
    <t xml:space="preserve">https://link.springer.com/book/10.1007/978-3-030-29231-7</t>
  </si>
  <si>
    <t xml:space="preserve">Essential Orthopedic Review</t>
  </si>
  <si>
    <t xml:space="preserve">Questions and Answers for Senior Medical Students</t>
  </si>
  <si>
    <t xml:space="preserve">10.1007/978-3-319-78387-1</t>
  </si>
  <si>
    <t xml:space="preserve">https://link.springer.com/book/10.1007/978-3-319-78387-1</t>
  </si>
  <si>
    <t xml:space="preserve">Spinal Anatomy</t>
  </si>
  <si>
    <t xml:space="preserve">Modern Concepts</t>
  </si>
  <si>
    <t xml:space="preserve">10.1007/978-3-030-20925-4</t>
  </si>
  <si>
    <t xml:space="preserve">https://link.springer.com/book/10.1007/978-3-030-20925-4</t>
  </si>
  <si>
    <t xml:space="preserve">Rehabilitation Science in Context</t>
  </si>
  <si>
    <t xml:space="preserve">Advances in Experimental Medicine and Biology</t>
  </si>
  <si>
    <t xml:space="preserve">10.1007/978-3-319-95708-1</t>
  </si>
  <si>
    <t xml:space="preserve">https://link.springer.com/book/10.1007/978-3-319-95708-1</t>
  </si>
  <si>
    <t xml:space="preserve">Global Orthopedics</t>
  </si>
  <si>
    <t xml:space="preserve">Caring for Musculoskeletal Conditions and Injuries in Austere Settings (2nd ed.)</t>
  </si>
  <si>
    <t xml:space="preserve">10.1007/978-3-030-13290-3</t>
  </si>
  <si>
    <t xml:space="preserve">https://link.springer.com/book/10.1007/978-3-030-13290-3</t>
  </si>
  <si>
    <t xml:space="preserve">Spinal Conditions in the Athlete</t>
  </si>
  <si>
    <t xml:space="preserve">A Clinical Guide to Evaluation, Management and Controversies</t>
  </si>
  <si>
    <t xml:space="preserve">10.1007/978-3-030-26207-5</t>
  </si>
  <si>
    <t xml:space="preserve">https://link.springer.com/book/10.1007/978-3-030-26207-5</t>
  </si>
  <si>
    <t xml:space="preserve">Return to Sport after ACL Reconstruction and Other Knee Operations</t>
  </si>
  <si>
    <t xml:space="preserve">Limiting the Risk of Reinjury and Maximizing Athletic Performance</t>
  </si>
  <si>
    <t xml:space="preserve">10.1007/978-3-030-22361-8</t>
  </si>
  <si>
    <t xml:space="preserve">https://link.springer.com/book/10.1007/978-3-030-22361-8</t>
  </si>
  <si>
    <t xml:space="preserve">Cubital Tunnel Syndrome</t>
  </si>
  <si>
    <t xml:space="preserve">10.1007/978-3-030-14171-4</t>
  </si>
  <si>
    <t xml:space="preserve">https://link.springer.com/book/10.1007/978-3-030-14171-4</t>
  </si>
  <si>
    <t xml:space="preserve">Tennis Medicine</t>
  </si>
  <si>
    <t xml:space="preserve">A Complete Guide to Evaluation, Treatment, and Rehabilitation</t>
  </si>
  <si>
    <t xml:space="preserve">10.1007/978-3-319-71498-1</t>
  </si>
  <si>
    <t xml:space="preserve">https://link.springer.com/book/10.1007/978-3-319-71498-1</t>
  </si>
  <si>
    <t xml:space="preserve">Mechanics, Pathomechanics and Injury in the Overhead Athlete</t>
  </si>
  <si>
    <t xml:space="preserve">A Case-Based Approach to Evaluation, Diagnosis and Management</t>
  </si>
  <si>
    <t xml:space="preserve">10.1007/978-3-030-12775-6</t>
  </si>
  <si>
    <t xml:space="preserve">https://link.springer.com/book/10.1007/978-3-030-12775-6</t>
  </si>
  <si>
    <t xml:space="preserve">Essential Foot and Ankle Surgical Techniques</t>
  </si>
  <si>
    <t xml:space="preserve">A Multidisciplinary Approach</t>
  </si>
  <si>
    <t xml:space="preserve">10.1007/978-3-030-14778-5</t>
  </si>
  <si>
    <t xml:space="preserve">https://link.springer.com/book/10.1007/978-3-030-14778-5</t>
  </si>
  <si>
    <t xml:space="preserve">The Multiple Ligament Injured Knee</t>
  </si>
  <si>
    <t xml:space="preserve">A Practical Guide to Management (3rd ed.)</t>
  </si>
  <si>
    <t xml:space="preserve">10.1007/978-3-030-05396-3</t>
  </si>
  <si>
    <t xml:space="preserve">https://link.springer.com/book/10.1007/978-3-030-05396-3</t>
  </si>
  <si>
    <t xml:space="preserve">Sacroiliac Joint Disorder</t>
  </si>
  <si>
    <t xml:space="preserve">Accurately Diagnosing Low Back Pain</t>
  </si>
  <si>
    <t xml:space="preserve">Eiichi Murakami</t>
  </si>
  <si>
    <t xml:space="preserve">10.1007/978-981-13-1807-8</t>
  </si>
  <si>
    <t xml:space="preserve">https://link.springer.com/book/10.1007/978-981-13-1807-8</t>
  </si>
  <si>
    <t xml:space="preserve">Joint Denervation</t>
  </si>
  <si>
    <t xml:space="preserve">An Atlas of Surgical Techniques</t>
  </si>
  <si>
    <t xml:space="preserve">A. Lee Dellon</t>
  </si>
  <si>
    <t xml:space="preserve">10.1007/978-3-030-05538-7</t>
  </si>
  <si>
    <t xml:space="preserve">https://link.springer.com/book/10.1007/978-3-030-05538-7</t>
  </si>
  <si>
    <t xml:space="preserve">Cartilage Restoration</t>
  </si>
  <si>
    <t xml:space="preserve">Practical Clinical Applications (2nd ed.)</t>
  </si>
  <si>
    <t xml:space="preserve">10.1007/978-3-319-77152-6</t>
  </si>
  <si>
    <t xml:space="preserve">https://link.springer.com/book/10.1007/978-3-319-77152-6</t>
  </si>
  <si>
    <t xml:space="preserve">Fractures in the Elderly</t>
  </si>
  <si>
    <t xml:space="preserve">A Guide to Practical Management</t>
  </si>
  <si>
    <t xml:space="preserve">Aging Medicine</t>
  </si>
  <si>
    <t xml:space="preserve">10.1007/978-3-319-72228-3</t>
  </si>
  <si>
    <t xml:space="preserve">https://link.springer.com/book/10.1007/978-3-319-72228-3</t>
  </si>
  <si>
    <t xml:space="preserve">ACL Injuries in the Female Athlete</t>
  </si>
  <si>
    <t xml:space="preserve">Causes, Impacts, and Conditioning Programs (2nd ed.)</t>
  </si>
  <si>
    <t xml:space="preserve">10.1007/978-3-662-56558-2</t>
  </si>
  <si>
    <t xml:space="preserve">https://link.springer.com/book/10.1007/978-3-662-56558-2</t>
  </si>
  <si>
    <t xml:space="preserve">The Elbow</t>
  </si>
  <si>
    <t xml:space="preserve">Principles of Surgical Treatment and Rehabilitation</t>
  </si>
  <si>
    <t xml:space="preserve">10.1007/978-3-319-27805-6</t>
  </si>
  <si>
    <t xml:space="preserve">https://link.springer.com/book/10.1007/978-3-319-27805-6</t>
  </si>
  <si>
    <t xml:space="preserve">Managing Dismounted Complex Blast Injuries in Military &amp; Civilian Settings</t>
  </si>
  <si>
    <t xml:space="preserve">Guidelines and Principles</t>
  </si>
  <si>
    <t xml:space="preserve">10.1007/978-3-319-74672-2</t>
  </si>
  <si>
    <t xml:space="preserve">https://link.springer.com/book/10.1007/978-3-319-74672-2</t>
  </si>
  <si>
    <t xml:space="preserve">Rehabilitation in Orthopedic Surgery</t>
  </si>
  <si>
    <t xml:space="preserve">10.1007/978-3-662-49149-2</t>
  </si>
  <si>
    <t xml:space="preserve">https://link.springer.com/book/10.1007/978-3-662-49149-2</t>
  </si>
  <si>
    <t xml:space="preserve">The Pediatric Anterior Cruciate Ligament</t>
  </si>
  <si>
    <t xml:space="preserve">Evaluation and Management Strategies</t>
  </si>
  <si>
    <t xml:space="preserve">10.1007/978-3-319-64771-5</t>
  </si>
  <si>
    <t xml:space="preserve">https://link.springer.com/book/10.1007/978-3-319-64771-5</t>
  </si>
  <si>
    <t xml:space="preserve">A Practical Approach to Adolescent Bone Health</t>
  </si>
  <si>
    <t xml:space="preserve">A Guide for the Primary Care Provider</t>
  </si>
  <si>
    <t xml:space="preserve">10.1007/978-3-319-72880-3</t>
  </si>
  <si>
    <t xml:space="preserve">https://link.springer.com/book/10.1007/978-3-319-72880-3</t>
  </si>
  <si>
    <t xml:space="preserve">Latissimus Dorsi Transfer</t>
  </si>
  <si>
    <t xml:space="preserve">10.1007/978-3-319-61946-0</t>
  </si>
  <si>
    <t xml:space="preserve">https://link.springer.com/book/10.1007/978-3-319-61946-0</t>
  </si>
  <si>
    <t xml:space="preserve">Pediatric Orthopedics</t>
  </si>
  <si>
    <t xml:space="preserve">Symptoms, Differential Diagnosis, Supplementary Assessment and Treatment</t>
  </si>
  <si>
    <t xml:space="preserve">Jan Douwes Visser</t>
  </si>
  <si>
    <t xml:space="preserve">10.1007/978-3-319-40178-2</t>
  </si>
  <si>
    <t xml:space="preserve">https://link.springer.com/book/10.1007/978-3-319-40178-2</t>
  </si>
  <si>
    <t xml:space="preserve">Prevention of Injuries in the Young Dancer</t>
  </si>
  <si>
    <t xml:space="preserve">Contemporary Pediatric and Adolescent Sports Medicine</t>
  </si>
  <si>
    <t xml:space="preserve">10.1007/978-3-319-55047-3</t>
  </si>
  <si>
    <t xml:space="preserve">https://link.springer.com/book/10.1007/978-3-319-55047-3</t>
  </si>
  <si>
    <t xml:space="preserve">Disorders of the Scapula and Their Role in Shoulder Injury</t>
  </si>
  <si>
    <t xml:space="preserve">10.1007/978-3-319-53584-5</t>
  </si>
  <si>
    <t xml:space="preserve">https://link.springer.com/book/10.1007/978-3-319-53584-5</t>
  </si>
  <si>
    <t xml:space="preserve">Hip Joint Restoration</t>
  </si>
  <si>
    <t xml:space="preserve">Worldwide Advances in Arthroscopy, Arthroplasty, Osteotomy and Joint Preservation Surgery</t>
  </si>
  <si>
    <t xml:space="preserve">10.1007/978-1-4614-0694-5</t>
  </si>
  <si>
    <t xml:space="preserve">https://link.springer.com/book/10.1007/978-1-4614-0694-5</t>
  </si>
  <si>
    <t xml:space="preserve">Osteoporosis in Orthopedics</t>
  </si>
  <si>
    <t xml:space="preserve">Assessment and Therapeutic Options</t>
  </si>
  <si>
    <t xml:space="preserve">10.1007/978-4-431-55778-4</t>
  </si>
  <si>
    <t xml:space="preserve">https://link.springer.com/book/10.1007/978-4-431-55778-4</t>
  </si>
  <si>
    <t xml:space="preserve">Imaging in Sports-Specific Musculoskeletal Injuries</t>
  </si>
  <si>
    <t xml:space="preserve">10.1007/978-3-319-14307-1</t>
  </si>
  <si>
    <t xml:space="preserve">https://link.springer.com/book/10.1007/978-3-319-14307-1</t>
  </si>
  <si>
    <t xml:space="preserve">Fingertip Injuries</t>
  </si>
  <si>
    <t xml:space="preserve">Diagnosis, Management and Reconstruction</t>
  </si>
  <si>
    <t xml:space="preserve">10.1007/978-3-319-13227-3</t>
  </si>
  <si>
    <t xml:space="preserve">https://link.springer.com/book/10.1007/978-3-319-13227-3</t>
  </si>
  <si>
    <t xml:space="preserve">Tennis Elbow</t>
  </si>
  <si>
    <t xml:space="preserve">Clinical Management</t>
  </si>
  <si>
    <t xml:space="preserve">10.1007/978-1-4899-7534-8</t>
  </si>
  <si>
    <t xml:space="preserve">https://link.springer.com/book/10.1007/978-1-4899-7534-8</t>
  </si>
  <si>
    <t xml:space="preserve">Therapy of the Hand and Upper Extremity</t>
  </si>
  <si>
    <t xml:space="preserve">Rehabilitation Protocols</t>
  </si>
  <si>
    <t xml:space="preserve">Scott F. M. Duncan, Christopher W. Flowers</t>
  </si>
  <si>
    <t xml:space="preserve">10.1007/978-3-319-14412-2</t>
  </si>
  <si>
    <t xml:space="preserve">https://link.springer.com/book/10.1007/978-3-319-14412-2</t>
  </si>
  <si>
    <t xml:space="preserve">Diagnosis, Non-Surgical Management, and Surgical Techniques</t>
  </si>
  <si>
    <t xml:space="preserve">10.1007/978-1-4899-7575-1</t>
  </si>
  <si>
    <t xml:space="preserve">https://link.springer.com/book/10.1007/978-1-4899-7575-1</t>
  </si>
  <si>
    <t xml:space="preserve">Posterior Cruciate Ligament Injuries</t>
  </si>
  <si>
    <t xml:space="preserve">A Practical Guide to Management (2nd ed.)</t>
  </si>
  <si>
    <t xml:space="preserve">10.1007/978-3-319-12072-0</t>
  </si>
  <si>
    <t xml:space="preserve">https://link.springer.com/book/10.1007/978-3-319-12072-0</t>
  </si>
  <si>
    <t xml:space="preserve">Joint Surgery in the Adult Patient with Hemophilia</t>
  </si>
  <si>
    <t xml:space="preserve">10.1007/978-3-319-10780-6</t>
  </si>
  <si>
    <t xml:space="preserve">https://link.springer.com/book/10.1007/978-3-319-10780-6</t>
  </si>
  <si>
    <t xml:space="preserve">Extremity Replantation</t>
  </si>
  <si>
    <t xml:space="preserve">A Comprehensive Clinical Guide</t>
  </si>
  <si>
    <t xml:space="preserve">10.1007/978-1-4899-7516-4</t>
  </si>
  <si>
    <t xml:space="preserve">https://link.springer.com/book/10.1007/978-1-4899-7516-4</t>
  </si>
  <si>
    <t xml:space="preserve">Etiology and Management</t>
  </si>
  <si>
    <t xml:space="preserve">10.1007/978-1-4899-7504-1</t>
  </si>
  <si>
    <t xml:space="preserve">https://link.springer.com/book/10.1007/978-1-4899-7504-1</t>
  </si>
  <si>
    <t xml:space="preserve">A Practical Guide for Treating Children and Adults</t>
  </si>
  <si>
    <t xml:space="preserve">Marc Sindou, George Georgoulis, Patrick Mertens</t>
  </si>
  <si>
    <t xml:space="preserve">10.1007/978-3-7091-1771-2</t>
  </si>
  <si>
    <t xml:space="preserve">https://link.springer.com/book/10.1007/978-3-7091-1771-2</t>
  </si>
  <si>
    <t xml:space="preserve">Deformity Correction in Total Knee Arthroplasty</t>
  </si>
  <si>
    <t xml:space="preserve">Arun B. Mullaji, Gautam M. Shetty</t>
  </si>
  <si>
    <t xml:space="preserve">10.1007/978-1-4939-0566-9</t>
  </si>
  <si>
    <t xml:space="preserve">https://link.springer.com/book/10.1007/978-1-4939-0566-9</t>
  </si>
  <si>
    <t xml:space="preserve">The Patellofemoral Joint in the Athlete</t>
  </si>
  <si>
    <t xml:space="preserve">10.1007/978-1-4614-4157-1</t>
  </si>
  <si>
    <t xml:space="preserve">https://link.springer.com/book/10.1007/978-1-4614-4157-1</t>
  </si>
  <si>
    <t xml:space="preserve">Platelet-Rich Plasma</t>
  </si>
  <si>
    <t xml:space="preserve">Regenerative Medicine: Sports Medicine, Orthopedic, and Recovery of Musculoskeletal Injuries</t>
  </si>
  <si>
    <t xml:space="preserve">Lecture Notes in Bioengineering</t>
  </si>
  <si>
    <t xml:space="preserve">10.1007/978-3-642-40117-6</t>
  </si>
  <si>
    <t xml:space="preserve">https://link.springer.com/book/10.1007/978-3-642-40117-6</t>
  </si>
  <si>
    <t xml:space="preserve">Causes, Impacts, and Conditioning Programs</t>
  </si>
  <si>
    <t xml:space="preserve">10.1007/978-3-642-32592-2</t>
  </si>
  <si>
    <t xml:space="preserve">https://link.springer.com/book/10.1007/978-3-642-32592-2</t>
  </si>
  <si>
    <t xml:space="preserve">Orthopedic Sports Medicine</t>
  </si>
  <si>
    <t xml:space="preserve">10.1007/978-88-470-1702-3</t>
  </si>
  <si>
    <t xml:space="preserve">https://link.springer.com/book/10.1007/978-88-470-1702-3</t>
  </si>
  <si>
    <t xml:space="preserve">Shoulder Instability</t>
  </si>
  <si>
    <t xml:space="preserve">Alternative Surgical Techniques</t>
  </si>
  <si>
    <t xml:space="preserve">10.1007/978-88-470-2035-1</t>
  </si>
  <si>
    <t xml:space="preserve">https://link.springer.com/book/10.1007/978-88-470-2035-1</t>
  </si>
  <si>
    <t xml:space="preserve">Minimally Invasive Surgery in Total Hip Arthroplasty</t>
  </si>
  <si>
    <t xml:space="preserve">10.1007/978-3-642-00897-9</t>
  </si>
  <si>
    <t xml:space="preserve">https://link.springer.com/book/10.1007/978-3-642-00897-9</t>
  </si>
  <si>
    <t xml:space="preserve">Flexible Intramedullary Nailing in Children</t>
  </si>
  <si>
    <t xml:space="preserve">The Nancy University Manual</t>
  </si>
  <si>
    <t xml:space="preserve">10.1007/978-3-642-03031-4</t>
  </si>
  <si>
    <t xml:space="preserve">https://link.springer.com/book/10.1007/978-3-642-03031-4</t>
  </si>
  <si>
    <t xml:space="preserve">Orthopedic Surgery in Patients with Hemophilia</t>
  </si>
  <si>
    <t xml:space="preserve">10.1007/978-88-470-0854-0</t>
  </si>
  <si>
    <t xml:space="preserve">https://link.springer.com/book/10.1007/978-88-470-0854-0</t>
  </si>
  <si>
    <t xml:space="preserve">Casebook of Orthopedic Rehabilitation</t>
  </si>
  <si>
    <t xml:space="preserve">Including Virtual Reality</t>
  </si>
  <si>
    <t xml:space="preserve">David Ip</t>
  </si>
  <si>
    <t xml:space="preserve">10.1007/978-3-540-74427-6</t>
  </si>
  <si>
    <t xml:space="preserve">https://link.springer.com/book/10.1007/978-3-540-74427-6</t>
  </si>
  <si>
    <t xml:space="preserve">Essential Physical Medicine and Rehabilitation</t>
  </si>
  <si>
    <t xml:space="preserve">Musculoskeletal Medicine</t>
  </si>
  <si>
    <t xml:space="preserve">10.1007/978-1-59745-100-0</t>
  </si>
  <si>
    <t xml:space="preserve">https://link.springer.com/book/10.1007/978-1-59745-100-0</t>
  </si>
  <si>
    <t xml:space="preserve">Orthopedic Rehabilitation, Assessment, and Enablement</t>
  </si>
  <si>
    <t xml:space="preserve">10.1007/978-3-540-37694-1</t>
  </si>
  <si>
    <t xml:space="preserve">https://link.springer.com/book/10.1007/978-3-540-37694-1</t>
  </si>
  <si>
    <t xml:space="preserve">Orthopedic Traumatology - A Resident's Guide</t>
  </si>
  <si>
    <t xml:space="preserve">10.1007/3-540-29066-4</t>
  </si>
  <si>
    <t xml:space="preserve">https://link.springer.com/book/10.1007/3-540-29066-4</t>
  </si>
  <si>
    <t xml:space="preserve">Primary Knee Arthroplasty</t>
  </si>
  <si>
    <t xml:space="preserve">10.1007/978-3-642-18816-9</t>
  </si>
  <si>
    <t xml:space="preserve">https://link.springer.com/book/10.1007/978-3-642-18816-9</t>
  </si>
  <si>
    <t xml:space="preserve">ACL Made Simple</t>
  </si>
  <si>
    <t xml:space="preserve">Don Johnson</t>
  </si>
  <si>
    <t xml:space="preserve">10.1007/b97311</t>
  </si>
  <si>
    <t xml:space="preserve">https://link.springer.com/book/10.1007/b97311</t>
  </si>
  <si>
    <t xml:space="preserve">Clinical Evaluation and Management of Spasticity</t>
  </si>
  <si>
    <t xml:space="preserve">David A. Gelber, Douglas R. Jeffery (eds.)</t>
  </si>
  <si>
    <t xml:space="preserve">Current Clinical Neurology</t>
  </si>
  <si>
    <t xml:space="preserve">10.1007/978-1-59259-092-6</t>
  </si>
  <si>
    <t xml:space="preserve">https://link.springer.com/book/10.1007/978-1-59259-092-6</t>
  </si>
  <si>
    <t xml:space="preserve">Hip Fractures</t>
  </si>
  <si>
    <t xml:space="preserve">A Practical Guide to Management</t>
  </si>
  <si>
    <t xml:space="preserve">Kenneth J. Koval, Joseph D. Zuckerman</t>
  </si>
  <si>
    <t xml:space="preserve">10.1007/978-1-4757-4052-3</t>
  </si>
  <si>
    <t xml:space="preserve">https://link.springer.com/book/10.1007/978-1-4757-4052-3</t>
  </si>
  <si>
    <r>
      <rPr>
        <b val="true"/>
        <sz val="11"/>
        <rFont val="Arial"/>
        <family val="0"/>
        <charset val="1"/>
      </rPr>
      <t xml:space="preserve">Springer Nature Link </t>
    </r>
    <r>
      <rPr>
        <b val="true"/>
        <sz val="11"/>
        <rFont val="WenQuanYi Zen Hei"/>
        <family val="2"/>
      </rPr>
      <t xml:space="preserve">检索：</t>
    </r>
    <r>
      <rPr>
        <b val="true"/>
        <sz val="11"/>
        <rFont val="Arial"/>
        <family val="0"/>
        <charset val="1"/>
      </rPr>
      <t xml:space="preserve">"Orthopedic Rehabilitation"</t>
    </r>
    <r>
      <rPr>
        <b val="true"/>
        <sz val="11"/>
        <rFont val="WenQuanYi Zen Hei"/>
        <family val="2"/>
      </rPr>
      <t xml:space="preserve">，内容类型</t>
    </r>
    <r>
      <rPr>
        <b val="true"/>
        <sz val="11"/>
        <rFont val="Arial"/>
        <family val="0"/>
        <charset val="1"/>
      </rPr>
      <t xml:space="preserve">=Book</t>
    </r>
    <r>
      <rPr>
        <b val="true"/>
        <sz val="11"/>
        <rFont val="WenQuanYi Zen Hei"/>
        <family val="2"/>
      </rPr>
      <t xml:space="preserve">，按相关度排序，共 </t>
    </r>
    <r>
      <rPr>
        <b val="true"/>
        <sz val="11"/>
        <rFont val="Arial"/>
        <family val="0"/>
        <charset val="1"/>
      </rPr>
      <t xml:space="preserve">109 </t>
    </r>
    <r>
      <rPr>
        <b val="true"/>
        <sz val="11"/>
        <rFont val="WenQuanYi Zen Hei"/>
        <family val="2"/>
      </rPr>
      <t xml:space="preserve">条（检索日期 </t>
    </r>
    <r>
      <rPr>
        <b val="true"/>
        <sz val="11"/>
        <rFont val="Arial"/>
        <family val="0"/>
        <charset val="1"/>
      </rPr>
      <t xml:space="preserve">2026-10-08</t>
    </r>
    <r>
      <rPr>
        <b val="true"/>
        <sz val="11"/>
        <rFont val="WenQuanYi Zen Hei"/>
        <family val="2"/>
      </rPr>
      <t xml:space="preserve">）</t>
    </r>
  </si>
  <si>
    <r>
      <rPr>
        <i val="true"/>
        <sz val="9"/>
        <color rgb="FF666666"/>
        <rFont val="WenQuanYi Zen Hei"/>
        <family val="2"/>
      </rPr>
      <t xml:space="preserve">注：主题分类与相关度为根据书名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简介人工判断；作者栏仅含检索结果页显示的作者，编著类图书在页面上不显示编者故留空。</t>
    </r>
  </si>
  <si>
    <t xml:space="preserve">按相关度</t>
  </si>
  <si>
    <t xml:space="preserve">类别</t>
  </si>
  <si>
    <t xml:space="preserve">数量</t>
  </si>
  <si>
    <t xml:space="preserve">合计</t>
  </si>
  <si>
    <t xml:space="preserve">按类型</t>
  </si>
  <si>
    <t xml:space="preserve">按主题</t>
  </si>
  <si>
    <r>
      <rPr>
        <sz val="11"/>
        <rFont val="WenQuanYi Zen Hei"/>
        <family val="2"/>
      </rPr>
      <t xml:space="preserve">手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上肢</t>
    </r>
  </si>
  <si>
    <r>
      <rPr>
        <sz val="11"/>
        <rFont val="WenQuanYi Zen Hei"/>
        <family val="2"/>
      </rPr>
      <t xml:space="preserve">膝</t>
    </r>
    <r>
      <rPr>
        <sz val="11"/>
        <rFont val="Arial"/>
        <family val="0"/>
        <charset val="1"/>
      </rPr>
      <t xml:space="preserve">/ACL</t>
    </r>
  </si>
  <si>
    <r>
      <rPr>
        <sz val="11"/>
        <rFont val="WenQuanYi Zen Hei"/>
        <family val="2"/>
      </rPr>
      <t xml:space="preserve">影像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超声</t>
    </r>
  </si>
  <si>
    <r>
      <rPr>
        <sz val="11"/>
        <rFont val="WenQuanYi Zen Hei"/>
        <family val="2"/>
      </rPr>
      <t xml:space="preserve">康复技术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远程康复</t>
    </r>
  </si>
  <si>
    <r>
      <rPr>
        <sz val="11"/>
        <rFont val="WenQuanYi Zen Hei"/>
        <family val="2"/>
      </rPr>
      <t xml:space="preserve">脊柱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脊髓</t>
    </r>
  </si>
  <si>
    <r>
      <rPr>
        <sz val="11"/>
        <rFont val="WenQuanYi Zen Hei"/>
        <family val="2"/>
      </rPr>
      <t xml:space="preserve">脊柱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腰痛</t>
    </r>
  </si>
  <si>
    <r>
      <rPr>
        <sz val="11"/>
        <rFont val="WenQuanYi Zen Hei"/>
        <family val="2"/>
      </rPr>
      <t xml:space="preserve">肩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肘</t>
    </r>
  </si>
  <si>
    <r>
      <rPr>
        <sz val="11"/>
        <rFont val="WenQuanYi Zen Hei"/>
        <family val="2"/>
      </rPr>
      <t xml:space="preserve">足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踝</t>
    </r>
  </si>
  <si>
    <r>
      <rPr>
        <sz val="11"/>
        <rFont val="WenQuanYi Zen Hei"/>
        <family val="2"/>
      </rPr>
      <t xml:space="preserve">骨肿瘤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截肢</t>
    </r>
  </si>
  <si>
    <r>
      <rPr>
        <sz val="11"/>
        <rFont val="WenQuanYi Zen Hei"/>
        <family val="2"/>
      </rPr>
      <t xml:space="preserve">神经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痉挛</t>
    </r>
  </si>
  <si>
    <r>
      <rPr>
        <sz val="11"/>
        <rFont val="WenQuanYi Zen Hei"/>
        <family val="2"/>
      </rPr>
      <t xml:space="preserve">风湿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血友病</t>
    </r>
  </si>
  <si>
    <r>
      <rPr>
        <sz val="11"/>
        <rFont val="WenQuanYi Zen Hei"/>
        <family val="2"/>
      </rPr>
      <t xml:space="preserve">创伤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骨折</t>
    </r>
  </si>
  <si>
    <t xml:space="preserve">按出版年代</t>
  </si>
  <si>
    <t xml:space="preserve">年代</t>
  </si>
  <si>
    <t xml:space="preserve">2000–2009</t>
  </si>
  <si>
    <t xml:space="preserve">2010–2019</t>
  </si>
  <si>
    <t xml:space="preserve">2020–2027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</si>
</sst>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WenQuanYi Zen Hei"/>
      <family val="2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ink.springer.com/book/10.1007/978-3-031-32026-2" TargetMode="External"/><Relationship Id="rId2" Type="http://schemas.openxmlformats.org/officeDocument/2006/relationships/hyperlink" Target="https://link.springer.com/book/10.1007/978-3-031-92008-0" TargetMode="External"/><Relationship Id="rId3" Type="http://schemas.openxmlformats.org/officeDocument/2006/relationships/hyperlink" Target="https://link.springer.com/book/10.1007/978-3-031-84501-7" TargetMode="External"/><Relationship Id="rId4" Type="http://schemas.openxmlformats.org/officeDocument/2006/relationships/hyperlink" Target="https://link.springer.com/book/10.1007/978-3-031-81037-4" TargetMode="External"/><Relationship Id="rId5" Type="http://schemas.openxmlformats.org/officeDocument/2006/relationships/hyperlink" Target="https://link.springer.com/book/10.1007/978-3-031-69080-8" TargetMode="External"/><Relationship Id="rId6" Type="http://schemas.openxmlformats.org/officeDocument/2006/relationships/hyperlink" Target="https://link.springer.com/book/10.1007/978-3-031-20987-1" TargetMode="External"/><Relationship Id="rId7" Type="http://schemas.openxmlformats.org/officeDocument/2006/relationships/hyperlink" Target="https://link.springer.com/book/9783032369543" TargetMode="External"/><Relationship Id="rId8" Type="http://schemas.openxmlformats.org/officeDocument/2006/relationships/hyperlink" Target="https://link.springer.com/book/10.1007/978-3-031-29430-3" TargetMode="External"/><Relationship Id="rId9" Type="http://schemas.openxmlformats.org/officeDocument/2006/relationships/hyperlink" Target="https://link.springer.com/book/10.1007/978-981-19-0228-4" TargetMode="External"/><Relationship Id="rId10" Type="http://schemas.openxmlformats.org/officeDocument/2006/relationships/hyperlink" Target="https://link.springer.com/book/10.1007/978-3-032-07519-2" TargetMode="External"/><Relationship Id="rId11" Type="http://schemas.openxmlformats.org/officeDocument/2006/relationships/hyperlink" Target="https://link.springer.com/book/10.1007/978-981-97-1484-1" TargetMode="External"/><Relationship Id="rId12" Type="http://schemas.openxmlformats.org/officeDocument/2006/relationships/hyperlink" Target="https://link.springer.com/book/10.1007/978-981-97-2461-1" TargetMode="External"/><Relationship Id="rId13" Type="http://schemas.openxmlformats.org/officeDocument/2006/relationships/hyperlink" Target="https://link.springer.com/book/10.1007/978-3-031-59160-0" TargetMode="External"/><Relationship Id="rId14" Type="http://schemas.openxmlformats.org/officeDocument/2006/relationships/hyperlink" Target="https://link.springer.com/book/10.1007/978-3-031-86558-9" TargetMode="External"/><Relationship Id="rId15" Type="http://schemas.openxmlformats.org/officeDocument/2006/relationships/hyperlink" Target="https://link.springer.com/book/10.1007/978-3-030-87003-4" TargetMode="External"/><Relationship Id="rId16" Type="http://schemas.openxmlformats.org/officeDocument/2006/relationships/hyperlink" Target="https://link.springer.com/book/9789819738762" TargetMode="External"/><Relationship Id="rId17" Type="http://schemas.openxmlformats.org/officeDocument/2006/relationships/hyperlink" Target="https://link.springer.com/book/10.1007/978-981-19-7884-5" TargetMode="External"/><Relationship Id="rId18" Type="http://schemas.openxmlformats.org/officeDocument/2006/relationships/hyperlink" Target="https://link.springer.com/book/10.1007/978-981-19-7761-9" TargetMode="External"/><Relationship Id="rId19" Type="http://schemas.openxmlformats.org/officeDocument/2006/relationships/hyperlink" Target="https://link.springer.com/book/10.1007/978-981-97-4087-1" TargetMode="External"/><Relationship Id="rId20" Type="http://schemas.openxmlformats.org/officeDocument/2006/relationships/hyperlink" Target="https://link.springer.com/book/10.1007/978-3-031-45594-0" TargetMode="External"/><Relationship Id="rId21" Type="http://schemas.openxmlformats.org/officeDocument/2006/relationships/hyperlink" Target="https://link.springer.com/book/10.1007/978-3-031-78534-4" TargetMode="External"/><Relationship Id="rId22" Type="http://schemas.openxmlformats.org/officeDocument/2006/relationships/hyperlink" Target="https://link.springer.com/book/10.1007/978-3-030-98791-6" TargetMode="External"/><Relationship Id="rId23" Type="http://schemas.openxmlformats.org/officeDocument/2006/relationships/hyperlink" Target="https://link.springer.com/book/10.1007/978-981-99-2575-9" TargetMode="External"/><Relationship Id="rId24" Type="http://schemas.openxmlformats.org/officeDocument/2006/relationships/hyperlink" Target="https://link.springer.com/book/10.1007/978-3-030-66352-0" TargetMode="External"/><Relationship Id="rId25" Type="http://schemas.openxmlformats.org/officeDocument/2006/relationships/hyperlink" Target="https://link.springer.com/book/10.1007/978-3-031-08682-3" TargetMode="External"/><Relationship Id="rId26" Type="http://schemas.openxmlformats.org/officeDocument/2006/relationships/hyperlink" Target="https://link.springer.com/book/10.1007/978-3-031-04406-9" TargetMode="External"/><Relationship Id="rId27" Type="http://schemas.openxmlformats.org/officeDocument/2006/relationships/hyperlink" Target="https://link.springer.com/book/10.1007/978-3-031-32072-9" TargetMode="External"/><Relationship Id="rId28" Type="http://schemas.openxmlformats.org/officeDocument/2006/relationships/hyperlink" Target="https://link.springer.com/book/10.1007/978-3-030-82869-1" TargetMode="External"/><Relationship Id="rId29" Type="http://schemas.openxmlformats.org/officeDocument/2006/relationships/hyperlink" Target="https://link.springer.com/book/10.1007/978-3-031-27253-0" TargetMode="External"/><Relationship Id="rId30" Type="http://schemas.openxmlformats.org/officeDocument/2006/relationships/hyperlink" Target="https://link.springer.com/book/10.1007/978-981-19-9612-2" TargetMode="External"/><Relationship Id="rId31" Type="http://schemas.openxmlformats.org/officeDocument/2006/relationships/hyperlink" Target="https://link.springer.com/book/10.1007/978-3-030-92717-2" TargetMode="External"/><Relationship Id="rId32" Type="http://schemas.openxmlformats.org/officeDocument/2006/relationships/hyperlink" Target="https://link.springer.com/book/10.1007/978-3-030-94702-6" TargetMode="External"/><Relationship Id="rId33" Type="http://schemas.openxmlformats.org/officeDocument/2006/relationships/hyperlink" Target="https://link.springer.com/book/10.1007/978-3-031-05002-2" TargetMode="External"/><Relationship Id="rId34" Type="http://schemas.openxmlformats.org/officeDocument/2006/relationships/hyperlink" Target="https://link.springer.com/book/10.1007/978-3-030-93990-8" TargetMode="External"/><Relationship Id="rId35" Type="http://schemas.openxmlformats.org/officeDocument/2006/relationships/hyperlink" Target="https://link.springer.com/book/10.1007/978-3-030-46574-2" TargetMode="External"/><Relationship Id="rId36" Type="http://schemas.openxmlformats.org/officeDocument/2006/relationships/hyperlink" Target="https://link.springer.com/book/10.1007/978-981-16-3488-8" TargetMode="External"/><Relationship Id="rId37" Type="http://schemas.openxmlformats.org/officeDocument/2006/relationships/hyperlink" Target="https://link.springer.com/book/10.1007/978-3-030-78969-5" TargetMode="External"/><Relationship Id="rId38" Type="http://schemas.openxmlformats.org/officeDocument/2006/relationships/hyperlink" Target="https://link.springer.com/book/10.1007/978-3-030-79481-1" TargetMode="External"/><Relationship Id="rId39" Type="http://schemas.openxmlformats.org/officeDocument/2006/relationships/hyperlink" Target="https://link.springer.com/book/10.1007/978-3-030-84950-4" TargetMode="External"/><Relationship Id="rId40" Type="http://schemas.openxmlformats.org/officeDocument/2006/relationships/hyperlink" Target="https://link.springer.com/book/10.1007/978-3-030-60746-3" TargetMode="External"/><Relationship Id="rId41" Type="http://schemas.openxmlformats.org/officeDocument/2006/relationships/hyperlink" Target="https://link.springer.com/book/10.1007/978-3-030-69567-5" TargetMode="External"/><Relationship Id="rId42" Type="http://schemas.openxmlformats.org/officeDocument/2006/relationships/hyperlink" Target="https://link.springer.com/book/10.1007/978-3-030-65335-4" TargetMode="External"/><Relationship Id="rId43" Type="http://schemas.openxmlformats.org/officeDocument/2006/relationships/hyperlink" Target="https://link.springer.com/book/10.1007/978-3-030-56025-6" TargetMode="External"/><Relationship Id="rId44" Type="http://schemas.openxmlformats.org/officeDocument/2006/relationships/hyperlink" Target="https://link.springer.com/book/10.1007/978-3-030-63019-5" TargetMode="External"/><Relationship Id="rId45" Type="http://schemas.openxmlformats.org/officeDocument/2006/relationships/hyperlink" Target="https://link.springer.com/book/10.1007/978-3-030-64159-7" TargetMode="External"/><Relationship Id="rId46" Type="http://schemas.openxmlformats.org/officeDocument/2006/relationships/hyperlink" Target="https://link.springer.com/book/10.1007/978-3-030-73610-1" TargetMode="External"/><Relationship Id="rId47" Type="http://schemas.openxmlformats.org/officeDocument/2006/relationships/hyperlink" Target="https://link.springer.com/book/10.1007/978-981-10-7033-4" TargetMode="External"/><Relationship Id="rId48" Type="http://schemas.openxmlformats.org/officeDocument/2006/relationships/hyperlink" Target="https://link.springer.com/book/10.1007/978-3-030-56670-8" TargetMode="External"/><Relationship Id="rId49" Type="http://schemas.openxmlformats.org/officeDocument/2006/relationships/hyperlink" Target="https://link.springer.com/book/10.1007/978-3-030-44492-1" TargetMode="External"/><Relationship Id="rId50" Type="http://schemas.openxmlformats.org/officeDocument/2006/relationships/hyperlink" Target="https://link.springer.com/book/10.1007/978-3-030-40655-4" TargetMode="External"/><Relationship Id="rId51" Type="http://schemas.openxmlformats.org/officeDocument/2006/relationships/hyperlink" Target="https://link.springer.com/book/10.1007/978-3-030-46646-6" TargetMode="External"/><Relationship Id="rId52" Type="http://schemas.openxmlformats.org/officeDocument/2006/relationships/hyperlink" Target="https://link.springer.com/book/10.1007/978-3-030-42771-9" TargetMode="External"/><Relationship Id="rId53" Type="http://schemas.openxmlformats.org/officeDocument/2006/relationships/hyperlink" Target="https://link.springer.com/book/10.1007/978-3-030-14455-5" TargetMode="External"/><Relationship Id="rId54" Type="http://schemas.openxmlformats.org/officeDocument/2006/relationships/hyperlink" Target="https://link.springer.com/book/10.1007/978-3-030-24773-7" TargetMode="External"/><Relationship Id="rId55" Type="http://schemas.openxmlformats.org/officeDocument/2006/relationships/hyperlink" Target="https://link.springer.com/book/10.1007/978-3-030-29231-7" TargetMode="External"/><Relationship Id="rId56" Type="http://schemas.openxmlformats.org/officeDocument/2006/relationships/hyperlink" Target="https://link.springer.com/book/10.1007/978-3-319-78387-1" TargetMode="External"/><Relationship Id="rId57" Type="http://schemas.openxmlformats.org/officeDocument/2006/relationships/hyperlink" Target="https://link.springer.com/book/10.1007/978-3-030-20925-4" TargetMode="External"/><Relationship Id="rId58" Type="http://schemas.openxmlformats.org/officeDocument/2006/relationships/hyperlink" Target="https://link.springer.com/book/10.1007/978-3-319-95708-1" TargetMode="External"/><Relationship Id="rId59" Type="http://schemas.openxmlformats.org/officeDocument/2006/relationships/hyperlink" Target="https://link.springer.com/book/10.1007/978-3-030-13290-3" TargetMode="External"/><Relationship Id="rId60" Type="http://schemas.openxmlformats.org/officeDocument/2006/relationships/hyperlink" Target="https://link.springer.com/book/10.1007/978-3-030-26207-5" TargetMode="External"/><Relationship Id="rId61" Type="http://schemas.openxmlformats.org/officeDocument/2006/relationships/hyperlink" Target="https://link.springer.com/book/10.1007/978-3-030-22361-8" TargetMode="External"/><Relationship Id="rId62" Type="http://schemas.openxmlformats.org/officeDocument/2006/relationships/hyperlink" Target="https://link.springer.com/book/10.1007/978-3-030-14171-4" TargetMode="External"/><Relationship Id="rId63" Type="http://schemas.openxmlformats.org/officeDocument/2006/relationships/hyperlink" Target="https://link.springer.com/book/10.1007/978-3-319-71498-1" TargetMode="External"/><Relationship Id="rId64" Type="http://schemas.openxmlformats.org/officeDocument/2006/relationships/hyperlink" Target="https://link.springer.com/book/10.1007/978-3-030-12775-6" TargetMode="External"/><Relationship Id="rId65" Type="http://schemas.openxmlformats.org/officeDocument/2006/relationships/hyperlink" Target="https://link.springer.com/book/10.1007/978-3-030-14778-5" TargetMode="External"/><Relationship Id="rId66" Type="http://schemas.openxmlformats.org/officeDocument/2006/relationships/hyperlink" Target="https://link.springer.com/book/10.1007/978-3-030-05396-3" TargetMode="External"/><Relationship Id="rId67" Type="http://schemas.openxmlformats.org/officeDocument/2006/relationships/hyperlink" Target="https://link.springer.com/book/10.1007/978-981-13-1807-8" TargetMode="External"/><Relationship Id="rId68" Type="http://schemas.openxmlformats.org/officeDocument/2006/relationships/hyperlink" Target="https://link.springer.com/book/10.1007/978-3-030-05538-7" TargetMode="External"/><Relationship Id="rId69" Type="http://schemas.openxmlformats.org/officeDocument/2006/relationships/hyperlink" Target="https://link.springer.com/book/10.1007/978-3-319-77152-6" TargetMode="External"/><Relationship Id="rId70" Type="http://schemas.openxmlformats.org/officeDocument/2006/relationships/hyperlink" Target="https://link.springer.com/book/10.1007/978-3-319-72228-3" TargetMode="External"/><Relationship Id="rId71" Type="http://schemas.openxmlformats.org/officeDocument/2006/relationships/hyperlink" Target="https://link.springer.com/book/10.1007/978-3-662-56558-2" TargetMode="External"/><Relationship Id="rId72" Type="http://schemas.openxmlformats.org/officeDocument/2006/relationships/hyperlink" Target="https://link.springer.com/book/10.1007/978-3-319-27805-6" TargetMode="External"/><Relationship Id="rId73" Type="http://schemas.openxmlformats.org/officeDocument/2006/relationships/hyperlink" Target="https://link.springer.com/book/10.1007/978-3-319-74672-2" TargetMode="External"/><Relationship Id="rId74" Type="http://schemas.openxmlformats.org/officeDocument/2006/relationships/hyperlink" Target="https://link.springer.com/book/10.1007/978-3-662-49149-2" TargetMode="External"/><Relationship Id="rId75" Type="http://schemas.openxmlformats.org/officeDocument/2006/relationships/hyperlink" Target="https://link.springer.com/book/10.1007/978-3-319-64771-5" TargetMode="External"/><Relationship Id="rId76" Type="http://schemas.openxmlformats.org/officeDocument/2006/relationships/hyperlink" Target="https://link.springer.com/book/10.1007/978-3-319-72880-3" TargetMode="External"/><Relationship Id="rId77" Type="http://schemas.openxmlformats.org/officeDocument/2006/relationships/hyperlink" Target="https://link.springer.com/book/10.1007/978-3-319-61946-0" TargetMode="External"/><Relationship Id="rId78" Type="http://schemas.openxmlformats.org/officeDocument/2006/relationships/hyperlink" Target="https://link.springer.com/book/10.1007/978-3-319-40178-2" TargetMode="External"/><Relationship Id="rId79" Type="http://schemas.openxmlformats.org/officeDocument/2006/relationships/hyperlink" Target="https://link.springer.com/book/10.1007/978-3-319-55047-3" TargetMode="External"/><Relationship Id="rId80" Type="http://schemas.openxmlformats.org/officeDocument/2006/relationships/hyperlink" Target="https://link.springer.com/book/10.1007/978-3-319-53584-5" TargetMode="External"/><Relationship Id="rId81" Type="http://schemas.openxmlformats.org/officeDocument/2006/relationships/hyperlink" Target="https://link.springer.com/book/10.1007/978-1-4614-0694-5" TargetMode="External"/><Relationship Id="rId82" Type="http://schemas.openxmlformats.org/officeDocument/2006/relationships/hyperlink" Target="https://link.springer.com/book/10.1007/978-4-431-55778-4" TargetMode="External"/><Relationship Id="rId83" Type="http://schemas.openxmlformats.org/officeDocument/2006/relationships/hyperlink" Target="https://link.springer.com/book/10.1007/978-3-319-14307-1" TargetMode="External"/><Relationship Id="rId84" Type="http://schemas.openxmlformats.org/officeDocument/2006/relationships/hyperlink" Target="https://link.springer.com/book/10.1007/978-3-319-13227-3" TargetMode="External"/><Relationship Id="rId85" Type="http://schemas.openxmlformats.org/officeDocument/2006/relationships/hyperlink" Target="https://link.springer.com/book/10.1007/978-1-4899-7534-8" TargetMode="External"/><Relationship Id="rId86" Type="http://schemas.openxmlformats.org/officeDocument/2006/relationships/hyperlink" Target="https://link.springer.com/book/10.1007/978-3-319-14412-2" TargetMode="External"/><Relationship Id="rId87" Type="http://schemas.openxmlformats.org/officeDocument/2006/relationships/hyperlink" Target="https://link.springer.com/book/10.1007/978-1-4899-7575-1" TargetMode="External"/><Relationship Id="rId88" Type="http://schemas.openxmlformats.org/officeDocument/2006/relationships/hyperlink" Target="https://link.springer.com/book/10.1007/978-3-319-12072-0" TargetMode="External"/><Relationship Id="rId89" Type="http://schemas.openxmlformats.org/officeDocument/2006/relationships/hyperlink" Target="https://link.springer.com/book/10.1007/978-3-319-10780-6" TargetMode="External"/><Relationship Id="rId90" Type="http://schemas.openxmlformats.org/officeDocument/2006/relationships/hyperlink" Target="https://link.springer.com/book/10.1007/978-1-4899-7516-4" TargetMode="External"/><Relationship Id="rId91" Type="http://schemas.openxmlformats.org/officeDocument/2006/relationships/hyperlink" Target="https://link.springer.com/book/10.1007/978-1-4899-7504-1" TargetMode="External"/><Relationship Id="rId92" Type="http://schemas.openxmlformats.org/officeDocument/2006/relationships/hyperlink" Target="https://link.springer.com/book/10.1007/978-3-7091-1771-2" TargetMode="External"/><Relationship Id="rId93" Type="http://schemas.openxmlformats.org/officeDocument/2006/relationships/hyperlink" Target="https://link.springer.com/book/10.1007/978-1-4939-0566-9" TargetMode="External"/><Relationship Id="rId94" Type="http://schemas.openxmlformats.org/officeDocument/2006/relationships/hyperlink" Target="https://link.springer.com/book/10.1007/978-1-4614-4157-1" TargetMode="External"/><Relationship Id="rId95" Type="http://schemas.openxmlformats.org/officeDocument/2006/relationships/hyperlink" Target="https://link.springer.com/book/10.1007/978-3-642-40117-6" TargetMode="External"/><Relationship Id="rId96" Type="http://schemas.openxmlformats.org/officeDocument/2006/relationships/hyperlink" Target="https://link.springer.com/book/10.1007/978-3-642-32592-2" TargetMode="External"/><Relationship Id="rId97" Type="http://schemas.openxmlformats.org/officeDocument/2006/relationships/hyperlink" Target="https://link.springer.com/book/10.1007/978-88-470-1702-3" TargetMode="External"/><Relationship Id="rId98" Type="http://schemas.openxmlformats.org/officeDocument/2006/relationships/hyperlink" Target="https://link.springer.com/book/10.1007/978-88-470-2035-1" TargetMode="External"/><Relationship Id="rId99" Type="http://schemas.openxmlformats.org/officeDocument/2006/relationships/hyperlink" Target="https://link.springer.com/book/10.1007/978-3-642-00897-9" TargetMode="External"/><Relationship Id="rId100" Type="http://schemas.openxmlformats.org/officeDocument/2006/relationships/hyperlink" Target="https://link.springer.com/book/10.1007/978-3-642-03031-4" TargetMode="External"/><Relationship Id="rId101" Type="http://schemas.openxmlformats.org/officeDocument/2006/relationships/hyperlink" Target="https://link.springer.com/book/10.1007/978-88-470-0854-0" TargetMode="External"/><Relationship Id="rId102" Type="http://schemas.openxmlformats.org/officeDocument/2006/relationships/hyperlink" Target="https://link.springer.com/book/10.1007/978-3-540-74427-6" TargetMode="External"/><Relationship Id="rId103" Type="http://schemas.openxmlformats.org/officeDocument/2006/relationships/hyperlink" Target="https://link.springer.com/book/10.1007/978-1-59745-100-0" TargetMode="External"/><Relationship Id="rId104" Type="http://schemas.openxmlformats.org/officeDocument/2006/relationships/hyperlink" Target="https://link.springer.com/book/10.1007/978-3-540-37694-1" TargetMode="External"/><Relationship Id="rId105" Type="http://schemas.openxmlformats.org/officeDocument/2006/relationships/hyperlink" Target="https://link.springer.com/book/10.1007/3-540-29066-4" TargetMode="External"/><Relationship Id="rId106" Type="http://schemas.openxmlformats.org/officeDocument/2006/relationships/hyperlink" Target="https://link.springer.com/book/10.1007/978-3-642-18816-9" TargetMode="External"/><Relationship Id="rId107" Type="http://schemas.openxmlformats.org/officeDocument/2006/relationships/hyperlink" Target="https://link.springer.com/book/10.1007/b97311" TargetMode="External"/><Relationship Id="rId108" Type="http://schemas.openxmlformats.org/officeDocument/2006/relationships/hyperlink" Target="https://link.springer.com/book/10.1007/978-1-59259-092-6" TargetMode="External"/><Relationship Id="rId109" Type="http://schemas.openxmlformats.org/officeDocument/2006/relationships/hyperlink" Target="https://link.springer.com/book/10.1007/978-1-4757-4052-3" TargetMode="External"/><Relationship Id="rId11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46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3" t="n">
        <v>1</v>
      </c>
      <c r="B2" s="4" t="s">
        <v>11</v>
      </c>
      <c r="C2" s="4" t="s">
        <v>12</v>
      </c>
      <c r="D2" s="5" t="s">
        <v>13</v>
      </c>
      <c r="E2" s="3" t="n">
        <v>2023</v>
      </c>
      <c r="F2" s="4"/>
      <c r="G2" s="4"/>
      <c r="H2" s="3" t="s">
        <v>14</v>
      </c>
      <c r="I2" s="6" t="s">
        <v>15</v>
      </c>
      <c r="J2" s="5" t="s">
        <v>16</v>
      </c>
      <c r="K2" s="7" t="s">
        <v>17</v>
      </c>
    </row>
    <row r="3" customFormat="false" ht="23.85" hidden="false" customHeight="false" outlineLevel="0" collapsed="false">
      <c r="A3" s="3" t="n">
        <v>2</v>
      </c>
      <c r="B3" s="4" t="s">
        <v>18</v>
      </c>
      <c r="C3" s="4" t="s">
        <v>19</v>
      </c>
      <c r="D3" s="5" t="s">
        <v>20</v>
      </c>
      <c r="E3" s="3" t="n">
        <v>2025</v>
      </c>
      <c r="F3" s="4"/>
      <c r="G3" s="4"/>
      <c r="H3" s="3" t="s">
        <v>21</v>
      </c>
      <c r="I3" s="6" t="s">
        <v>22</v>
      </c>
      <c r="J3" s="5" t="s">
        <v>23</v>
      </c>
      <c r="K3" s="7" t="s">
        <v>17</v>
      </c>
    </row>
    <row r="4" customFormat="false" ht="23.85" hidden="false" customHeight="false" outlineLevel="0" collapsed="false">
      <c r="A4" s="3" t="n">
        <v>3</v>
      </c>
      <c r="B4" s="4" t="s">
        <v>24</v>
      </c>
      <c r="C4" s="4"/>
      <c r="D4" s="5" t="s">
        <v>20</v>
      </c>
      <c r="E4" s="3" t="n">
        <v>2025</v>
      </c>
      <c r="F4" s="4"/>
      <c r="G4" s="4"/>
      <c r="H4" s="3" t="s">
        <v>25</v>
      </c>
      <c r="I4" s="6" t="s">
        <v>26</v>
      </c>
      <c r="J4" s="5" t="s">
        <v>27</v>
      </c>
      <c r="K4" s="8" t="s">
        <v>28</v>
      </c>
    </row>
    <row r="5" customFormat="false" ht="15" hidden="false" customHeight="false" outlineLevel="0" collapsed="false">
      <c r="A5" s="3" t="n">
        <v>4</v>
      </c>
      <c r="B5" s="4" t="s">
        <v>29</v>
      </c>
      <c r="C5" s="4"/>
      <c r="D5" s="5" t="s">
        <v>20</v>
      </c>
      <c r="E5" s="3" t="n">
        <v>2025</v>
      </c>
      <c r="F5" s="4"/>
      <c r="G5" s="4"/>
      <c r="H5" s="3" t="s">
        <v>30</v>
      </c>
      <c r="I5" s="6" t="s">
        <v>31</v>
      </c>
      <c r="J5" s="5" t="s">
        <v>32</v>
      </c>
      <c r="K5" s="9" t="s">
        <v>33</v>
      </c>
    </row>
    <row r="6" customFormat="false" ht="15" hidden="false" customHeight="false" outlineLevel="0" collapsed="false">
      <c r="A6" s="3" t="n">
        <v>5</v>
      </c>
      <c r="B6" s="4" t="s">
        <v>34</v>
      </c>
      <c r="C6" s="4"/>
      <c r="D6" s="5" t="s">
        <v>20</v>
      </c>
      <c r="E6" s="3" t="n">
        <v>2024</v>
      </c>
      <c r="F6" s="4"/>
      <c r="G6" s="4" t="s">
        <v>35</v>
      </c>
      <c r="H6" s="3" t="s">
        <v>36</v>
      </c>
      <c r="I6" s="6" t="s">
        <v>37</v>
      </c>
      <c r="J6" s="5" t="s">
        <v>38</v>
      </c>
      <c r="K6" s="8" t="s">
        <v>28</v>
      </c>
    </row>
    <row r="7" customFormat="false" ht="15" hidden="false" customHeight="false" outlineLevel="0" collapsed="false">
      <c r="A7" s="3" t="n">
        <v>6</v>
      </c>
      <c r="B7" s="4" t="s">
        <v>39</v>
      </c>
      <c r="C7" s="4"/>
      <c r="D7" s="5" t="s">
        <v>13</v>
      </c>
      <c r="E7" s="3" t="n">
        <v>2023</v>
      </c>
      <c r="F7" s="4"/>
      <c r="G7" s="4"/>
      <c r="H7" s="3" t="s">
        <v>40</v>
      </c>
      <c r="I7" s="6" t="s">
        <v>41</v>
      </c>
      <c r="J7" s="5" t="s">
        <v>16</v>
      </c>
      <c r="K7" s="8" t="s">
        <v>28</v>
      </c>
    </row>
    <row r="8" customFormat="false" ht="23.85" hidden="false" customHeight="false" outlineLevel="0" collapsed="false">
      <c r="A8" s="3" t="n">
        <v>7</v>
      </c>
      <c r="B8" s="4" t="s">
        <v>42</v>
      </c>
      <c r="C8" s="4" t="s">
        <v>43</v>
      </c>
      <c r="D8" s="5" t="s">
        <v>20</v>
      </c>
      <c r="E8" s="3" t="n">
        <v>2026</v>
      </c>
      <c r="F8" s="4"/>
      <c r="G8" s="4"/>
      <c r="H8" s="3" t="s">
        <v>44</v>
      </c>
      <c r="I8" s="6" t="s">
        <v>45</v>
      </c>
      <c r="J8" s="5" t="s">
        <v>46</v>
      </c>
      <c r="K8" s="9" t="s">
        <v>33</v>
      </c>
    </row>
    <row r="9" customFormat="false" ht="15" hidden="false" customHeight="false" outlineLevel="0" collapsed="false">
      <c r="A9" s="3" t="n">
        <v>8</v>
      </c>
      <c r="B9" s="4" t="s">
        <v>47</v>
      </c>
      <c r="C9" s="4"/>
      <c r="D9" s="5" t="s">
        <v>48</v>
      </c>
      <c r="E9" s="3" t="n">
        <v>2024</v>
      </c>
      <c r="F9" s="4"/>
      <c r="G9" s="4"/>
      <c r="H9" s="3" t="s">
        <v>49</v>
      </c>
      <c r="I9" s="6" t="s">
        <v>50</v>
      </c>
      <c r="J9" s="5" t="s">
        <v>27</v>
      </c>
      <c r="K9" s="8" t="s">
        <v>28</v>
      </c>
    </row>
    <row r="10" customFormat="false" ht="23.85" hidden="false" customHeight="false" outlineLevel="0" collapsed="false">
      <c r="A10" s="3" t="n">
        <v>9</v>
      </c>
      <c r="B10" s="4" t="s">
        <v>51</v>
      </c>
      <c r="C10" s="4" t="s">
        <v>52</v>
      </c>
      <c r="D10" s="5" t="s">
        <v>20</v>
      </c>
      <c r="E10" s="3" t="n">
        <v>2022</v>
      </c>
      <c r="F10" s="4" t="s">
        <v>53</v>
      </c>
      <c r="G10" s="4"/>
      <c r="H10" s="3" t="s">
        <v>54</v>
      </c>
      <c r="I10" s="6" t="s">
        <v>55</v>
      </c>
      <c r="J10" s="5" t="s">
        <v>56</v>
      </c>
      <c r="K10" s="7" t="s">
        <v>17</v>
      </c>
    </row>
    <row r="11" customFormat="false" ht="15" hidden="false" customHeight="false" outlineLevel="0" collapsed="false">
      <c r="A11" s="3" t="n">
        <v>10</v>
      </c>
      <c r="B11" s="4" t="s">
        <v>57</v>
      </c>
      <c r="C11" s="4" t="s">
        <v>58</v>
      </c>
      <c r="D11" s="5" t="s">
        <v>20</v>
      </c>
      <c r="E11" s="3" t="n">
        <v>2025</v>
      </c>
      <c r="F11" s="4"/>
      <c r="G11" s="4"/>
      <c r="H11" s="3" t="s">
        <v>59</v>
      </c>
      <c r="I11" s="6" t="s">
        <v>60</v>
      </c>
      <c r="J11" s="5" t="s">
        <v>56</v>
      </c>
      <c r="K11" s="9" t="s">
        <v>33</v>
      </c>
    </row>
    <row r="12" customFormat="false" ht="23.85" hidden="false" customHeight="false" outlineLevel="0" collapsed="false">
      <c r="A12" s="3" t="n">
        <v>11</v>
      </c>
      <c r="B12" s="4" t="s">
        <v>61</v>
      </c>
      <c r="C12" s="4"/>
      <c r="D12" s="5" t="s">
        <v>20</v>
      </c>
      <c r="E12" s="3" t="n">
        <v>2024</v>
      </c>
      <c r="F12" s="4" t="s">
        <v>62</v>
      </c>
      <c r="G12" s="4" t="s">
        <v>63</v>
      </c>
      <c r="H12" s="3" t="s">
        <v>64</v>
      </c>
      <c r="I12" s="6" t="s">
        <v>65</v>
      </c>
      <c r="J12" s="5" t="s">
        <v>38</v>
      </c>
      <c r="K12" s="9" t="s">
        <v>33</v>
      </c>
    </row>
    <row r="13" customFormat="false" ht="15" hidden="false" customHeight="false" outlineLevel="0" collapsed="false">
      <c r="A13" s="3" t="n">
        <v>12</v>
      </c>
      <c r="B13" s="4" t="s">
        <v>66</v>
      </c>
      <c r="C13" s="4"/>
      <c r="D13" s="5" t="s">
        <v>20</v>
      </c>
      <c r="E13" s="3" t="n">
        <v>2024</v>
      </c>
      <c r="F13" s="4"/>
      <c r="G13" s="4"/>
      <c r="H13" s="3" t="s">
        <v>67</v>
      </c>
      <c r="I13" s="6" t="s">
        <v>68</v>
      </c>
      <c r="J13" s="5" t="s">
        <v>69</v>
      </c>
      <c r="K13" s="8" t="s">
        <v>28</v>
      </c>
    </row>
    <row r="14" customFormat="false" ht="15" hidden="false" customHeight="false" outlineLevel="0" collapsed="false">
      <c r="A14" s="3" t="n">
        <v>13</v>
      </c>
      <c r="B14" s="4" t="s">
        <v>70</v>
      </c>
      <c r="C14" s="4" t="s">
        <v>71</v>
      </c>
      <c r="D14" s="5" t="s">
        <v>20</v>
      </c>
      <c r="E14" s="3" t="n">
        <v>2024</v>
      </c>
      <c r="F14" s="4"/>
      <c r="G14" s="4"/>
      <c r="H14" s="3" t="s">
        <v>72</v>
      </c>
      <c r="I14" s="6" t="s">
        <v>73</v>
      </c>
      <c r="J14" s="5" t="s">
        <v>69</v>
      </c>
      <c r="K14" s="9" t="s">
        <v>33</v>
      </c>
    </row>
    <row r="15" customFormat="false" ht="23.85" hidden="false" customHeight="false" outlineLevel="0" collapsed="false">
      <c r="A15" s="3" t="n">
        <v>14</v>
      </c>
      <c r="B15" s="4" t="s">
        <v>74</v>
      </c>
      <c r="C15" s="4"/>
      <c r="D15" s="5" t="s">
        <v>13</v>
      </c>
      <c r="E15" s="3" t="n">
        <v>2026</v>
      </c>
      <c r="F15" s="4"/>
      <c r="G15" s="4"/>
      <c r="H15" s="3" t="s">
        <v>75</v>
      </c>
      <c r="I15" s="6" t="s">
        <v>76</v>
      </c>
      <c r="J15" s="5" t="s">
        <v>16</v>
      </c>
      <c r="K15" s="8" t="s">
        <v>28</v>
      </c>
    </row>
    <row r="16" customFormat="false" ht="23.85" hidden="false" customHeight="false" outlineLevel="0" collapsed="false">
      <c r="A16" s="3" t="n">
        <v>15</v>
      </c>
      <c r="B16" s="4" t="s">
        <v>77</v>
      </c>
      <c r="C16" s="4" t="s">
        <v>78</v>
      </c>
      <c r="D16" s="5" t="s">
        <v>20</v>
      </c>
      <c r="E16" s="3" t="n">
        <v>2022</v>
      </c>
      <c r="F16" s="4"/>
      <c r="G16" s="4"/>
      <c r="H16" s="3" t="s">
        <v>79</v>
      </c>
      <c r="I16" s="6" t="s">
        <v>80</v>
      </c>
      <c r="J16" s="5" t="s">
        <v>69</v>
      </c>
      <c r="K16" s="7" t="s">
        <v>17</v>
      </c>
    </row>
    <row r="17" customFormat="false" ht="15" hidden="false" customHeight="false" outlineLevel="0" collapsed="false">
      <c r="A17" s="3" t="n">
        <v>16</v>
      </c>
      <c r="B17" s="4" t="s">
        <v>81</v>
      </c>
      <c r="C17" s="4" t="s">
        <v>82</v>
      </c>
      <c r="D17" s="5" t="s">
        <v>48</v>
      </c>
      <c r="E17" s="3" t="n">
        <v>2027</v>
      </c>
      <c r="F17" s="4"/>
      <c r="G17" s="4"/>
      <c r="H17" s="3" t="s">
        <v>83</v>
      </c>
      <c r="I17" s="6" t="s">
        <v>84</v>
      </c>
      <c r="J17" s="5" t="s">
        <v>85</v>
      </c>
      <c r="K17" s="8" t="s">
        <v>28</v>
      </c>
    </row>
    <row r="18" customFormat="false" ht="15" hidden="false" customHeight="false" outlineLevel="0" collapsed="false">
      <c r="A18" s="3" t="n">
        <v>17</v>
      </c>
      <c r="B18" s="4" t="s">
        <v>86</v>
      </c>
      <c r="C18" s="4" t="s">
        <v>87</v>
      </c>
      <c r="D18" s="5" t="s">
        <v>20</v>
      </c>
      <c r="E18" s="3" t="n">
        <v>2023</v>
      </c>
      <c r="F18" s="4"/>
      <c r="G18" s="4"/>
      <c r="H18" s="3" t="s">
        <v>88</v>
      </c>
      <c r="I18" s="6" t="s">
        <v>89</v>
      </c>
      <c r="J18" s="5" t="s">
        <v>90</v>
      </c>
      <c r="K18" s="9" t="s">
        <v>33</v>
      </c>
    </row>
    <row r="19" customFormat="false" ht="15" hidden="false" customHeight="false" outlineLevel="0" collapsed="false">
      <c r="A19" s="3" t="n">
        <v>18</v>
      </c>
      <c r="B19" s="4" t="s">
        <v>91</v>
      </c>
      <c r="C19" s="4" t="s">
        <v>87</v>
      </c>
      <c r="D19" s="5" t="s">
        <v>20</v>
      </c>
      <c r="E19" s="3" t="n">
        <v>2023</v>
      </c>
      <c r="F19" s="4"/>
      <c r="G19" s="4"/>
      <c r="H19" s="3" t="s">
        <v>92</v>
      </c>
      <c r="I19" s="6" t="s">
        <v>93</v>
      </c>
      <c r="J19" s="5" t="s">
        <v>85</v>
      </c>
      <c r="K19" s="9" t="s">
        <v>33</v>
      </c>
    </row>
    <row r="20" customFormat="false" ht="15" hidden="false" customHeight="false" outlineLevel="0" collapsed="false">
      <c r="A20" s="3" t="n">
        <v>19</v>
      </c>
      <c r="B20" s="4" t="s">
        <v>81</v>
      </c>
      <c r="C20" s="4" t="s">
        <v>82</v>
      </c>
      <c r="D20" s="5" t="s">
        <v>94</v>
      </c>
      <c r="E20" s="3" t="n">
        <v>2026</v>
      </c>
      <c r="F20" s="4"/>
      <c r="G20" s="4"/>
      <c r="H20" s="3" t="s">
        <v>95</v>
      </c>
      <c r="I20" s="6" t="s">
        <v>96</v>
      </c>
      <c r="J20" s="5" t="s">
        <v>85</v>
      </c>
      <c r="K20" s="8" t="s">
        <v>28</v>
      </c>
    </row>
    <row r="21" customFormat="false" ht="15" hidden="false" customHeight="false" outlineLevel="0" collapsed="false">
      <c r="A21" s="3" t="n">
        <v>20</v>
      </c>
      <c r="B21" s="4" t="s">
        <v>97</v>
      </c>
      <c r="C21" s="4" t="s">
        <v>98</v>
      </c>
      <c r="D21" s="5" t="s">
        <v>20</v>
      </c>
      <c r="E21" s="3" t="n">
        <v>2023</v>
      </c>
      <c r="F21" s="4"/>
      <c r="G21" s="4"/>
      <c r="H21" s="3" t="s">
        <v>99</v>
      </c>
      <c r="I21" s="6" t="s">
        <v>100</v>
      </c>
      <c r="J21" s="5" t="s">
        <v>101</v>
      </c>
      <c r="K21" s="7" t="s">
        <v>17</v>
      </c>
    </row>
    <row r="22" customFormat="false" ht="15" hidden="false" customHeight="false" outlineLevel="0" collapsed="false">
      <c r="A22" s="3" t="n">
        <v>21</v>
      </c>
      <c r="B22" s="4" t="s">
        <v>102</v>
      </c>
      <c r="C22" s="4" t="s">
        <v>103</v>
      </c>
      <c r="D22" s="5" t="s">
        <v>20</v>
      </c>
      <c r="E22" s="3" t="n">
        <v>2025</v>
      </c>
      <c r="F22" s="4" t="s">
        <v>104</v>
      </c>
      <c r="G22" s="4"/>
      <c r="H22" s="3" t="s">
        <v>105</v>
      </c>
      <c r="I22" s="6" t="s">
        <v>106</v>
      </c>
      <c r="J22" s="5" t="s">
        <v>85</v>
      </c>
      <c r="K22" s="8" t="s">
        <v>28</v>
      </c>
    </row>
    <row r="23" customFormat="false" ht="15" hidden="false" customHeight="false" outlineLevel="0" collapsed="false">
      <c r="A23" s="3" t="n">
        <v>22</v>
      </c>
      <c r="B23" s="4" t="s">
        <v>107</v>
      </c>
      <c r="C23" s="4"/>
      <c r="D23" s="5" t="s">
        <v>20</v>
      </c>
      <c r="E23" s="3" t="n">
        <v>2023</v>
      </c>
      <c r="F23" s="4"/>
      <c r="G23" s="4"/>
      <c r="H23" s="3" t="s">
        <v>108</v>
      </c>
      <c r="I23" s="6" t="s">
        <v>109</v>
      </c>
      <c r="J23" s="5" t="s">
        <v>101</v>
      </c>
      <c r="K23" s="9" t="s">
        <v>33</v>
      </c>
    </row>
    <row r="24" customFormat="false" ht="23.85" hidden="false" customHeight="false" outlineLevel="0" collapsed="false">
      <c r="A24" s="3" t="n">
        <v>23</v>
      </c>
      <c r="B24" s="4" t="s">
        <v>110</v>
      </c>
      <c r="C24" s="4"/>
      <c r="D24" s="5" t="s">
        <v>13</v>
      </c>
      <c r="E24" s="3" t="n">
        <v>2023</v>
      </c>
      <c r="F24" s="4" t="s">
        <v>111</v>
      </c>
      <c r="G24" s="4"/>
      <c r="H24" s="3" t="s">
        <v>112</v>
      </c>
      <c r="I24" s="6" t="s">
        <v>113</v>
      </c>
      <c r="J24" s="5" t="s">
        <v>114</v>
      </c>
      <c r="K24" s="9" t="s">
        <v>33</v>
      </c>
    </row>
    <row r="25" customFormat="false" ht="15" hidden="false" customHeight="false" outlineLevel="0" collapsed="false">
      <c r="A25" s="3" t="n">
        <v>24</v>
      </c>
      <c r="B25" s="4" t="s">
        <v>115</v>
      </c>
      <c r="C25" s="4"/>
      <c r="D25" s="5" t="s">
        <v>20</v>
      </c>
      <c r="E25" s="3" t="n">
        <v>2021</v>
      </c>
      <c r="F25" s="4"/>
      <c r="G25" s="4"/>
      <c r="H25" s="3" t="s">
        <v>116</v>
      </c>
      <c r="I25" s="6" t="s">
        <v>117</v>
      </c>
      <c r="J25" s="5" t="s">
        <v>118</v>
      </c>
      <c r="K25" s="7" t="s">
        <v>17</v>
      </c>
    </row>
    <row r="26" customFormat="false" ht="15" hidden="false" customHeight="false" outlineLevel="0" collapsed="false">
      <c r="A26" s="3" t="n">
        <v>25</v>
      </c>
      <c r="B26" s="4" t="s">
        <v>119</v>
      </c>
      <c r="C26" s="4" t="s">
        <v>120</v>
      </c>
      <c r="D26" s="5" t="s">
        <v>20</v>
      </c>
      <c r="E26" s="3" t="n">
        <v>2022</v>
      </c>
      <c r="F26" s="4"/>
      <c r="G26" s="4"/>
      <c r="H26" s="3" t="s">
        <v>121</v>
      </c>
      <c r="I26" s="6" t="s">
        <v>122</v>
      </c>
      <c r="J26" s="5" t="s">
        <v>101</v>
      </c>
      <c r="K26" s="7" t="s">
        <v>17</v>
      </c>
    </row>
    <row r="27" customFormat="false" ht="23.85" hidden="false" customHeight="false" outlineLevel="0" collapsed="false">
      <c r="A27" s="3" t="n">
        <v>26</v>
      </c>
      <c r="B27" s="4" t="s">
        <v>123</v>
      </c>
      <c r="C27" s="4" t="s">
        <v>124</v>
      </c>
      <c r="D27" s="5" t="s">
        <v>13</v>
      </c>
      <c r="E27" s="3" t="n">
        <v>2022</v>
      </c>
      <c r="F27" s="4" t="s">
        <v>125</v>
      </c>
      <c r="G27" s="4"/>
      <c r="H27" s="3" t="s">
        <v>126</v>
      </c>
      <c r="I27" s="6" t="s">
        <v>127</v>
      </c>
      <c r="J27" s="5" t="s">
        <v>16</v>
      </c>
      <c r="K27" s="9" t="s">
        <v>33</v>
      </c>
    </row>
    <row r="28" customFormat="false" ht="15" hidden="false" customHeight="false" outlineLevel="0" collapsed="false">
      <c r="A28" s="3" t="n">
        <v>27</v>
      </c>
      <c r="B28" s="4" t="s">
        <v>128</v>
      </c>
      <c r="C28" s="4" t="s">
        <v>129</v>
      </c>
      <c r="D28" s="5" t="s">
        <v>20</v>
      </c>
      <c r="E28" s="3" t="n">
        <v>2023</v>
      </c>
      <c r="F28" s="4"/>
      <c r="G28" s="4"/>
      <c r="H28" s="3" t="s">
        <v>130</v>
      </c>
      <c r="I28" s="6" t="s">
        <v>131</v>
      </c>
      <c r="J28" s="5" t="s">
        <v>23</v>
      </c>
      <c r="K28" s="8" t="s">
        <v>28</v>
      </c>
    </row>
    <row r="29" customFormat="false" ht="15" hidden="false" customHeight="false" outlineLevel="0" collapsed="false">
      <c r="A29" s="3" t="n">
        <v>28</v>
      </c>
      <c r="B29" s="4" t="s">
        <v>47</v>
      </c>
      <c r="C29" s="4"/>
      <c r="D29" s="5" t="s">
        <v>94</v>
      </c>
      <c r="E29" s="3" t="n">
        <v>2023</v>
      </c>
      <c r="F29" s="4"/>
      <c r="G29" s="4"/>
      <c r="H29" s="3" t="s">
        <v>132</v>
      </c>
      <c r="I29" s="6" t="s">
        <v>133</v>
      </c>
      <c r="J29" s="5" t="s">
        <v>27</v>
      </c>
      <c r="K29" s="8" t="s">
        <v>28</v>
      </c>
    </row>
    <row r="30" customFormat="false" ht="23.85" hidden="false" customHeight="false" outlineLevel="0" collapsed="false">
      <c r="A30" s="3" t="n">
        <v>29</v>
      </c>
      <c r="B30" s="4" t="s">
        <v>134</v>
      </c>
      <c r="C30" s="4" t="s">
        <v>135</v>
      </c>
      <c r="D30" s="5" t="s">
        <v>20</v>
      </c>
      <c r="E30" s="3" t="n">
        <v>2023</v>
      </c>
      <c r="F30" s="4"/>
      <c r="G30" s="4"/>
      <c r="H30" s="3" t="s">
        <v>136</v>
      </c>
      <c r="I30" s="6" t="s">
        <v>137</v>
      </c>
      <c r="J30" s="5" t="s">
        <v>85</v>
      </c>
      <c r="K30" s="8" t="s">
        <v>28</v>
      </c>
    </row>
    <row r="31" customFormat="false" ht="23.85" hidden="false" customHeight="false" outlineLevel="0" collapsed="false">
      <c r="A31" s="3" t="n">
        <v>30</v>
      </c>
      <c r="B31" s="4" t="s">
        <v>138</v>
      </c>
      <c r="C31" s="4" t="s">
        <v>139</v>
      </c>
      <c r="D31" s="5" t="s">
        <v>20</v>
      </c>
      <c r="E31" s="3" t="n">
        <v>2023</v>
      </c>
      <c r="F31" s="4" t="s">
        <v>140</v>
      </c>
      <c r="G31" s="4"/>
      <c r="H31" s="3" t="s">
        <v>141</v>
      </c>
      <c r="I31" s="6" t="s">
        <v>142</v>
      </c>
      <c r="J31" s="5" t="s">
        <v>23</v>
      </c>
      <c r="K31" s="9" t="s">
        <v>33</v>
      </c>
    </row>
    <row r="32" customFormat="false" ht="23.85" hidden="false" customHeight="false" outlineLevel="0" collapsed="false">
      <c r="A32" s="3" t="n">
        <v>31</v>
      </c>
      <c r="B32" s="4" t="s">
        <v>143</v>
      </c>
      <c r="C32" s="4" t="s">
        <v>144</v>
      </c>
      <c r="D32" s="5" t="s">
        <v>20</v>
      </c>
      <c r="E32" s="3" t="n">
        <v>2022</v>
      </c>
      <c r="F32" s="4" t="s">
        <v>145</v>
      </c>
      <c r="G32" s="4"/>
      <c r="H32" s="3" t="s">
        <v>146</v>
      </c>
      <c r="I32" s="6" t="s">
        <v>147</v>
      </c>
      <c r="J32" s="5" t="s">
        <v>148</v>
      </c>
      <c r="K32" s="9" t="s">
        <v>33</v>
      </c>
    </row>
    <row r="33" customFormat="false" ht="15" hidden="false" customHeight="false" outlineLevel="0" collapsed="false">
      <c r="A33" s="3" t="n">
        <v>32</v>
      </c>
      <c r="B33" s="4" t="s">
        <v>149</v>
      </c>
      <c r="C33" s="4"/>
      <c r="D33" s="5" t="s">
        <v>20</v>
      </c>
      <c r="E33" s="3" t="n">
        <v>2022</v>
      </c>
      <c r="F33" s="4"/>
      <c r="G33" s="4"/>
      <c r="H33" s="3" t="s">
        <v>150</v>
      </c>
      <c r="I33" s="6" t="s">
        <v>151</v>
      </c>
      <c r="J33" s="5" t="s">
        <v>90</v>
      </c>
      <c r="K33" s="8" t="s">
        <v>28</v>
      </c>
    </row>
    <row r="34" customFormat="false" ht="23.85" hidden="false" customHeight="false" outlineLevel="0" collapsed="false">
      <c r="A34" s="3" t="n">
        <v>33</v>
      </c>
      <c r="B34" s="4" t="s">
        <v>152</v>
      </c>
      <c r="C34" s="4"/>
      <c r="D34" s="5" t="s">
        <v>20</v>
      </c>
      <c r="E34" s="3" t="n">
        <v>2022</v>
      </c>
      <c r="F34" s="4"/>
      <c r="G34" s="4" t="s">
        <v>153</v>
      </c>
      <c r="H34" s="3" t="s">
        <v>154</v>
      </c>
      <c r="I34" s="6" t="s">
        <v>155</v>
      </c>
      <c r="J34" s="5" t="s">
        <v>156</v>
      </c>
      <c r="K34" s="9" t="s">
        <v>33</v>
      </c>
    </row>
    <row r="35" customFormat="false" ht="15" hidden="false" customHeight="false" outlineLevel="0" collapsed="false">
      <c r="A35" s="3" t="n">
        <v>34</v>
      </c>
      <c r="B35" s="4" t="s">
        <v>157</v>
      </c>
      <c r="C35" s="4" t="s">
        <v>158</v>
      </c>
      <c r="D35" s="5" t="s">
        <v>20</v>
      </c>
      <c r="E35" s="3" t="n">
        <v>2022</v>
      </c>
      <c r="F35" s="4"/>
      <c r="G35" s="4"/>
      <c r="H35" s="3" t="s">
        <v>159</v>
      </c>
      <c r="I35" s="6" t="s">
        <v>160</v>
      </c>
      <c r="J35" s="5" t="s">
        <v>156</v>
      </c>
      <c r="K35" s="9" t="s">
        <v>33</v>
      </c>
    </row>
    <row r="36" customFormat="false" ht="23.85" hidden="false" customHeight="false" outlineLevel="0" collapsed="false">
      <c r="A36" s="3" t="n">
        <v>35</v>
      </c>
      <c r="B36" s="4" t="s">
        <v>161</v>
      </c>
      <c r="C36" s="4" t="s">
        <v>162</v>
      </c>
      <c r="D36" s="5" t="s">
        <v>20</v>
      </c>
      <c r="E36" s="3" t="n">
        <v>2020</v>
      </c>
      <c r="F36" s="4"/>
      <c r="G36" s="4"/>
      <c r="H36" s="3" t="s">
        <v>163</v>
      </c>
      <c r="I36" s="6" t="s">
        <v>164</v>
      </c>
      <c r="J36" s="5" t="s">
        <v>165</v>
      </c>
      <c r="K36" s="8" t="s">
        <v>28</v>
      </c>
    </row>
    <row r="37" customFormat="false" ht="15" hidden="false" customHeight="false" outlineLevel="0" collapsed="false">
      <c r="A37" s="3" t="n">
        <v>36</v>
      </c>
      <c r="B37" s="4" t="s">
        <v>166</v>
      </c>
      <c r="C37" s="4" t="s">
        <v>87</v>
      </c>
      <c r="D37" s="5" t="s">
        <v>20</v>
      </c>
      <c r="E37" s="3" t="n">
        <v>2021</v>
      </c>
      <c r="F37" s="4"/>
      <c r="G37" s="4"/>
      <c r="H37" s="3" t="s">
        <v>167</v>
      </c>
      <c r="I37" s="6" t="s">
        <v>168</v>
      </c>
      <c r="J37" s="5" t="s">
        <v>169</v>
      </c>
      <c r="K37" s="9" t="s">
        <v>33</v>
      </c>
    </row>
    <row r="38" customFormat="false" ht="15" hidden="false" customHeight="false" outlineLevel="0" collapsed="false">
      <c r="A38" s="3" t="n">
        <v>37</v>
      </c>
      <c r="B38" s="4" t="s">
        <v>170</v>
      </c>
      <c r="C38" s="4" t="s">
        <v>171</v>
      </c>
      <c r="D38" s="5" t="s">
        <v>20</v>
      </c>
      <c r="E38" s="3" t="n">
        <v>2021</v>
      </c>
      <c r="F38" s="4"/>
      <c r="G38" s="4"/>
      <c r="H38" s="3" t="s">
        <v>172</v>
      </c>
      <c r="I38" s="6" t="s">
        <v>173</v>
      </c>
      <c r="J38" s="5" t="s">
        <v>174</v>
      </c>
      <c r="K38" s="8" t="s">
        <v>28</v>
      </c>
    </row>
    <row r="39" customFormat="false" ht="15" hidden="false" customHeight="false" outlineLevel="0" collapsed="false">
      <c r="A39" s="3" t="n">
        <v>38</v>
      </c>
      <c r="B39" s="4" t="s">
        <v>175</v>
      </c>
      <c r="C39" s="4" t="s">
        <v>176</v>
      </c>
      <c r="D39" s="5" t="s">
        <v>20</v>
      </c>
      <c r="E39" s="3" t="n">
        <v>2021</v>
      </c>
      <c r="F39" s="4"/>
      <c r="G39" s="4"/>
      <c r="H39" s="3" t="s">
        <v>177</v>
      </c>
      <c r="I39" s="6" t="s">
        <v>178</v>
      </c>
      <c r="J39" s="5" t="s">
        <v>90</v>
      </c>
      <c r="K39" s="8" t="s">
        <v>28</v>
      </c>
    </row>
    <row r="40" customFormat="false" ht="23.85" hidden="false" customHeight="false" outlineLevel="0" collapsed="false">
      <c r="A40" s="3" t="n">
        <v>39</v>
      </c>
      <c r="B40" s="4" t="s">
        <v>179</v>
      </c>
      <c r="C40" s="4" t="s">
        <v>180</v>
      </c>
      <c r="D40" s="5" t="s">
        <v>20</v>
      </c>
      <c r="E40" s="3" t="n">
        <v>2022</v>
      </c>
      <c r="F40" s="4" t="s">
        <v>181</v>
      </c>
      <c r="G40" s="4"/>
      <c r="H40" s="3" t="s">
        <v>182</v>
      </c>
      <c r="I40" s="6" t="s">
        <v>183</v>
      </c>
      <c r="J40" s="5" t="s">
        <v>46</v>
      </c>
      <c r="K40" s="7" t="s">
        <v>17</v>
      </c>
    </row>
    <row r="41" customFormat="false" ht="15" hidden="false" customHeight="false" outlineLevel="0" collapsed="false">
      <c r="A41" s="3" t="n">
        <v>40</v>
      </c>
      <c r="B41" s="4" t="s">
        <v>184</v>
      </c>
      <c r="C41" s="4"/>
      <c r="D41" s="5" t="s">
        <v>20</v>
      </c>
      <c r="E41" s="3" t="n">
        <v>2021</v>
      </c>
      <c r="F41" s="4"/>
      <c r="G41" s="4"/>
      <c r="H41" s="3" t="s">
        <v>185</v>
      </c>
      <c r="I41" s="6" t="s">
        <v>186</v>
      </c>
      <c r="J41" s="5" t="s">
        <v>118</v>
      </c>
      <c r="K41" s="7" t="s">
        <v>17</v>
      </c>
    </row>
    <row r="42" customFormat="false" ht="15" hidden="false" customHeight="false" outlineLevel="0" collapsed="false">
      <c r="A42" s="3" t="n">
        <v>41</v>
      </c>
      <c r="B42" s="4" t="s">
        <v>187</v>
      </c>
      <c r="C42" s="4" t="s">
        <v>188</v>
      </c>
      <c r="D42" s="5" t="s">
        <v>20</v>
      </c>
      <c r="E42" s="3" t="n">
        <v>2021</v>
      </c>
      <c r="F42" s="4"/>
      <c r="G42" s="4"/>
      <c r="H42" s="3" t="s">
        <v>189</v>
      </c>
      <c r="I42" s="6" t="s">
        <v>190</v>
      </c>
      <c r="J42" s="5" t="s">
        <v>90</v>
      </c>
      <c r="K42" s="8" t="s">
        <v>28</v>
      </c>
    </row>
    <row r="43" customFormat="false" ht="15" hidden="false" customHeight="false" outlineLevel="0" collapsed="false">
      <c r="A43" s="3" t="n">
        <v>42</v>
      </c>
      <c r="B43" s="4" t="s">
        <v>191</v>
      </c>
      <c r="C43" s="4" t="s">
        <v>192</v>
      </c>
      <c r="D43" s="5" t="s">
        <v>20</v>
      </c>
      <c r="E43" s="3" t="n">
        <v>2021</v>
      </c>
      <c r="F43" s="4"/>
      <c r="G43" s="4"/>
      <c r="H43" s="3" t="s">
        <v>193</v>
      </c>
      <c r="I43" s="6" t="s">
        <v>194</v>
      </c>
      <c r="J43" s="5" t="s">
        <v>46</v>
      </c>
      <c r="K43" s="8" t="s">
        <v>28</v>
      </c>
    </row>
    <row r="44" customFormat="false" ht="15" hidden="false" customHeight="false" outlineLevel="0" collapsed="false">
      <c r="A44" s="3" t="n">
        <v>43</v>
      </c>
      <c r="B44" s="4" t="s">
        <v>195</v>
      </c>
      <c r="C44" s="4" t="s">
        <v>196</v>
      </c>
      <c r="D44" s="5" t="s">
        <v>20</v>
      </c>
      <c r="E44" s="3" t="n">
        <v>2021</v>
      </c>
      <c r="F44" s="4"/>
      <c r="G44" s="4"/>
      <c r="H44" s="3" t="s">
        <v>197</v>
      </c>
      <c r="I44" s="6" t="s">
        <v>198</v>
      </c>
      <c r="J44" s="5" t="s">
        <v>169</v>
      </c>
      <c r="K44" s="8" t="s">
        <v>28</v>
      </c>
    </row>
    <row r="45" customFormat="false" ht="15" hidden="false" customHeight="false" outlineLevel="0" collapsed="false">
      <c r="A45" s="3" t="n">
        <v>44</v>
      </c>
      <c r="B45" s="4" t="s">
        <v>199</v>
      </c>
      <c r="C45" s="4" t="s">
        <v>200</v>
      </c>
      <c r="D45" s="5" t="s">
        <v>20</v>
      </c>
      <c r="E45" s="3" t="n">
        <v>2021</v>
      </c>
      <c r="F45" s="4"/>
      <c r="G45" s="4"/>
      <c r="H45" s="3" t="s">
        <v>201</v>
      </c>
      <c r="I45" s="6" t="s">
        <v>202</v>
      </c>
      <c r="J45" s="5" t="s">
        <v>90</v>
      </c>
      <c r="K45" s="8" t="s">
        <v>28</v>
      </c>
    </row>
    <row r="46" customFormat="false" ht="15" hidden="false" customHeight="false" outlineLevel="0" collapsed="false">
      <c r="A46" s="3" t="n">
        <v>45</v>
      </c>
      <c r="B46" s="4" t="s">
        <v>203</v>
      </c>
      <c r="C46" s="4" t="s">
        <v>204</v>
      </c>
      <c r="D46" s="5" t="s">
        <v>20</v>
      </c>
      <c r="E46" s="3" t="n">
        <v>2021</v>
      </c>
      <c r="F46" s="4"/>
      <c r="G46" s="4"/>
      <c r="H46" s="3" t="s">
        <v>205</v>
      </c>
      <c r="I46" s="6" t="s">
        <v>206</v>
      </c>
      <c r="J46" s="5" t="s">
        <v>165</v>
      </c>
      <c r="K46" s="9" t="s">
        <v>33</v>
      </c>
    </row>
    <row r="47" customFormat="false" ht="15" hidden="false" customHeight="false" outlineLevel="0" collapsed="false">
      <c r="A47" s="3" t="n">
        <v>46</v>
      </c>
      <c r="B47" s="4" t="s">
        <v>42</v>
      </c>
      <c r="C47" s="4" t="s">
        <v>207</v>
      </c>
      <c r="D47" s="5" t="s">
        <v>20</v>
      </c>
      <c r="E47" s="3" t="n">
        <v>2021</v>
      </c>
      <c r="F47" s="4"/>
      <c r="G47" s="4"/>
      <c r="H47" s="3" t="s">
        <v>208</v>
      </c>
      <c r="I47" s="6" t="s">
        <v>209</v>
      </c>
      <c r="J47" s="5" t="s">
        <v>46</v>
      </c>
      <c r="K47" s="9" t="s">
        <v>33</v>
      </c>
    </row>
    <row r="48" customFormat="false" ht="23.85" hidden="false" customHeight="false" outlineLevel="0" collapsed="false">
      <c r="A48" s="3" t="n">
        <v>47</v>
      </c>
      <c r="B48" s="4" t="s">
        <v>51</v>
      </c>
      <c r="C48" s="4"/>
      <c r="D48" s="5" t="s">
        <v>20</v>
      </c>
      <c r="E48" s="3" t="n">
        <v>2019</v>
      </c>
      <c r="F48" s="4" t="s">
        <v>53</v>
      </c>
      <c r="G48" s="4"/>
      <c r="H48" s="3" t="s">
        <v>210</v>
      </c>
      <c r="I48" s="6" t="s">
        <v>211</v>
      </c>
      <c r="J48" s="5" t="s">
        <v>56</v>
      </c>
      <c r="K48" s="7" t="s">
        <v>17</v>
      </c>
    </row>
    <row r="49" customFormat="false" ht="15" hidden="false" customHeight="false" outlineLevel="0" collapsed="false">
      <c r="A49" s="3" t="n">
        <v>48</v>
      </c>
      <c r="B49" s="4" t="s">
        <v>212</v>
      </c>
      <c r="C49" s="4" t="s">
        <v>52</v>
      </c>
      <c r="D49" s="5" t="s">
        <v>20</v>
      </c>
      <c r="E49" s="3" t="n">
        <v>2021</v>
      </c>
      <c r="F49" s="4"/>
      <c r="G49" s="4"/>
      <c r="H49" s="3" t="s">
        <v>213</v>
      </c>
      <c r="I49" s="6" t="s">
        <v>214</v>
      </c>
      <c r="J49" s="5" t="s">
        <v>156</v>
      </c>
      <c r="K49" s="9" t="s">
        <v>33</v>
      </c>
    </row>
    <row r="50" customFormat="false" ht="15" hidden="false" customHeight="false" outlineLevel="0" collapsed="false">
      <c r="A50" s="3" t="n">
        <v>49</v>
      </c>
      <c r="B50" s="4" t="s">
        <v>215</v>
      </c>
      <c r="C50" s="4" t="s">
        <v>216</v>
      </c>
      <c r="D50" s="5" t="s">
        <v>20</v>
      </c>
      <c r="E50" s="3" t="n">
        <v>2020</v>
      </c>
      <c r="F50" s="4"/>
      <c r="G50" s="4"/>
      <c r="H50" s="3" t="s">
        <v>217</v>
      </c>
      <c r="I50" s="6" t="s">
        <v>218</v>
      </c>
      <c r="J50" s="5" t="s">
        <v>27</v>
      </c>
      <c r="K50" s="8" t="s">
        <v>28</v>
      </c>
    </row>
    <row r="51" customFormat="false" ht="23.85" hidden="false" customHeight="false" outlineLevel="0" collapsed="false">
      <c r="A51" s="3" t="n">
        <v>50</v>
      </c>
      <c r="B51" s="4" t="s">
        <v>219</v>
      </c>
      <c r="C51" s="4"/>
      <c r="D51" s="5" t="s">
        <v>20</v>
      </c>
      <c r="E51" s="3" t="n">
        <v>2020</v>
      </c>
      <c r="F51" s="4"/>
      <c r="G51" s="4"/>
      <c r="H51" s="3" t="s">
        <v>220</v>
      </c>
      <c r="I51" s="6" t="s">
        <v>221</v>
      </c>
      <c r="J51" s="5" t="s">
        <v>174</v>
      </c>
      <c r="K51" s="9" t="s">
        <v>33</v>
      </c>
    </row>
    <row r="52" customFormat="false" ht="15" hidden="false" customHeight="false" outlineLevel="0" collapsed="false">
      <c r="A52" s="3" t="n">
        <v>51</v>
      </c>
      <c r="B52" s="4" t="s">
        <v>222</v>
      </c>
      <c r="C52" s="4" t="s">
        <v>223</v>
      </c>
      <c r="D52" s="5" t="s">
        <v>20</v>
      </c>
      <c r="E52" s="3" t="n">
        <v>2020</v>
      </c>
      <c r="F52" s="4"/>
      <c r="G52" s="4"/>
      <c r="H52" s="3" t="s">
        <v>224</v>
      </c>
      <c r="I52" s="6" t="s">
        <v>225</v>
      </c>
      <c r="J52" s="5" t="s">
        <v>101</v>
      </c>
      <c r="K52" s="8" t="s">
        <v>28</v>
      </c>
    </row>
    <row r="53" customFormat="false" ht="15" hidden="false" customHeight="false" outlineLevel="0" collapsed="false">
      <c r="A53" s="3" t="n">
        <v>52</v>
      </c>
      <c r="B53" s="4" t="s">
        <v>226</v>
      </c>
      <c r="C53" s="4"/>
      <c r="D53" s="5" t="s">
        <v>20</v>
      </c>
      <c r="E53" s="3" t="n">
        <v>2020</v>
      </c>
      <c r="F53" s="4"/>
      <c r="G53" s="4"/>
      <c r="H53" s="3" t="s">
        <v>227</v>
      </c>
      <c r="I53" s="6" t="s">
        <v>228</v>
      </c>
      <c r="J53" s="5" t="s">
        <v>85</v>
      </c>
      <c r="K53" s="8" t="s">
        <v>28</v>
      </c>
    </row>
    <row r="54" customFormat="false" ht="15" hidden="false" customHeight="false" outlineLevel="0" collapsed="false">
      <c r="A54" s="3" t="n">
        <v>53</v>
      </c>
      <c r="B54" s="4" t="s">
        <v>229</v>
      </c>
      <c r="C54" s="4" t="s">
        <v>230</v>
      </c>
      <c r="D54" s="5" t="s">
        <v>20</v>
      </c>
      <c r="E54" s="3" t="n">
        <v>2020</v>
      </c>
      <c r="F54" s="4"/>
      <c r="G54" s="4"/>
      <c r="H54" s="3" t="s">
        <v>231</v>
      </c>
      <c r="I54" s="6" t="s">
        <v>232</v>
      </c>
      <c r="J54" s="5" t="s">
        <v>69</v>
      </c>
      <c r="K54" s="9" t="s">
        <v>33</v>
      </c>
    </row>
    <row r="55" customFormat="false" ht="15" hidden="false" customHeight="false" outlineLevel="0" collapsed="false">
      <c r="A55" s="3" t="n">
        <v>54</v>
      </c>
      <c r="B55" s="4" t="s">
        <v>233</v>
      </c>
      <c r="C55" s="4"/>
      <c r="D55" s="5" t="s">
        <v>20</v>
      </c>
      <c r="E55" s="3" t="n">
        <v>2020</v>
      </c>
      <c r="F55" s="4"/>
      <c r="G55" s="4"/>
      <c r="H55" s="3" t="s">
        <v>234</v>
      </c>
      <c r="I55" s="6" t="s">
        <v>235</v>
      </c>
      <c r="J55" s="5" t="s">
        <v>69</v>
      </c>
      <c r="K55" s="9" t="s">
        <v>33</v>
      </c>
    </row>
    <row r="56" customFormat="false" ht="15" hidden="false" customHeight="false" outlineLevel="0" collapsed="false">
      <c r="A56" s="3" t="n">
        <v>55</v>
      </c>
      <c r="B56" s="4" t="s">
        <v>236</v>
      </c>
      <c r="C56" s="4" t="s">
        <v>237</v>
      </c>
      <c r="D56" s="5" t="s">
        <v>20</v>
      </c>
      <c r="E56" s="3" t="n">
        <v>2020</v>
      </c>
      <c r="F56" s="4"/>
      <c r="G56" s="4"/>
      <c r="H56" s="3" t="s">
        <v>238</v>
      </c>
      <c r="I56" s="6" t="s">
        <v>239</v>
      </c>
      <c r="J56" s="5" t="s">
        <v>101</v>
      </c>
      <c r="K56" s="9" t="s">
        <v>33</v>
      </c>
    </row>
    <row r="57" customFormat="false" ht="15" hidden="false" customHeight="false" outlineLevel="0" collapsed="false">
      <c r="A57" s="3" t="n">
        <v>56</v>
      </c>
      <c r="B57" s="4" t="s">
        <v>240</v>
      </c>
      <c r="C57" s="4" t="s">
        <v>241</v>
      </c>
      <c r="D57" s="5" t="s">
        <v>20</v>
      </c>
      <c r="E57" s="3" t="n">
        <v>2018</v>
      </c>
      <c r="F57" s="4"/>
      <c r="G57" s="4"/>
      <c r="H57" s="3" t="s">
        <v>242</v>
      </c>
      <c r="I57" s="6" t="s">
        <v>243</v>
      </c>
      <c r="J57" s="5" t="s">
        <v>16</v>
      </c>
      <c r="K57" s="9" t="s">
        <v>33</v>
      </c>
    </row>
    <row r="58" customFormat="false" ht="15" hidden="false" customHeight="false" outlineLevel="0" collapsed="false">
      <c r="A58" s="3" t="n">
        <v>57</v>
      </c>
      <c r="B58" s="4" t="s">
        <v>244</v>
      </c>
      <c r="C58" s="4" t="s">
        <v>245</v>
      </c>
      <c r="D58" s="5" t="s">
        <v>20</v>
      </c>
      <c r="E58" s="3" t="n">
        <v>2020</v>
      </c>
      <c r="F58" s="4"/>
      <c r="G58" s="4"/>
      <c r="H58" s="3" t="s">
        <v>246</v>
      </c>
      <c r="I58" s="6" t="s">
        <v>247</v>
      </c>
      <c r="J58" s="5" t="s">
        <v>85</v>
      </c>
      <c r="K58" s="9" t="s">
        <v>33</v>
      </c>
    </row>
    <row r="59" customFormat="false" ht="23.85" hidden="false" customHeight="false" outlineLevel="0" collapsed="false">
      <c r="A59" s="3" t="n">
        <v>58</v>
      </c>
      <c r="B59" s="4" t="s">
        <v>248</v>
      </c>
      <c r="C59" s="4"/>
      <c r="D59" s="5" t="s">
        <v>20</v>
      </c>
      <c r="E59" s="3" t="n">
        <v>2018</v>
      </c>
      <c r="F59" s="4"/>
      <c r="G59" s="4" t="s">
        <v>249</v>
      </c>
      <c r="H59" s="3" t="s">
        <v>250</v>
      </c>
      <c r="I59" s="6" t="s">
        <v>251</v>
      </c>
      <c r="J59" s="5" t="s">
        <v>16</v>
      </c>
      <c r="K59" s="8" t="s">
        <v>28</v>
      </c>
    </row>
    <row r="60" customFormat="false" ht="23.85" hidden="false" customHeight="false" outlineLevel="0" collapsed="false">
      <c r="A60" s="3" t="n">
        <v>59</v>
      </c>
      <c r="B60" s="4" t="s">
        <v>252</v>
      </c>
      <c r="C60" s="4" t="s">
        <v>253</v>
      </c>
      <c r="D60" s="5" t="s">
        <v>20</v>
      </c>
      <c r="E60" s="3" t="n">
        <v>2020</v>
      </c>
      <c r="F60" s="4"/>
      <c r="G60" s="4"/>
      <c r="H60" s="3" t="s">
        <v>254</v>
      </c>
      <c r="I60" s="6" t="s">
        <v>255</v>
      </c>
      <c r="J60" s="5" t="s">
        <v>16</v>
      </c>
      <c r="K60" s="9" t="s">
        <v>33</v>
      </c>
    </row>
    <row r="61" customFormat="false" ht="23.85" hidden="false" customHeight="false" outlineLevel="0" collapsed="false">
      <c r="A61" s="3" t="n">
        <v>60</v>
      </c>
      <c r="B61" s="4" t="s">
        <v>256</v>
      </c>
      <c r="C61" s="4" t="s">
        <v>257</v>
      </c>
      <c r="D61" s="5" t="s">
        <v>20</v>
      </c>
      <c r="E61" s="3" t="n">
        <v>2020</v>
      </c>
      <c r="F61" s="4"/>
      <c r="G61" s="4"/>
      <c r="H61" s="3" t="s">
        <v>258</v>
      </c>
      <c r="I61" s="6" t="s">
        <v>259</v>
      </c>
      <c r="J61" s="5" t="s">
        <v>46</v>
      </c>
      <c r="K61" s="8" t="s">
        <v>28</v>
      </c>
    </row>
    <row r="62" customFormat="false" ht="23.85" hidden="false" customHeight="false" outlineLevel="0" collapsed="false">
      <c r="A62" s="3" t="n">
        <v>61</v>
      </c>
      <c r="B62" s="4" t="s">
        <v>260</v>
      </c>
      <c r="C62" s="4" t="s">
        <v>261</v>
      </c>
      <c r="D62" s="5" t="s">
        <v>20</v>
      </c>
      <c r="E62" s="3" t="n">
        <v>2019</v>
      </c>
      <c r="F62" s="4"/>
      <c r="G62" s="4"/>
      <c r="H62" s="3" t="s">
        <v>262</v>
      </c>
      <c r="I62" s="6" t="s">
        <v>263</v>
      </c>
      <c r="J62" s="5" t="s">
        <v>27</v>
      </c>
      <c r="K62" s="7" t="s">
        <v>17</v>
      </c>
    </row>
    <row r="63" customFormat="false" ht="15" hidden="false" customHeight="false" outlineLevel="0" collapsed="false">
      <c r="A63" s="3" t="n">
        <v>62</v>
      </c>
      <c r="B63" s="4" t="s">
        <v>264</v>
      </c>
      <c r="C63" s="4" t="s">
        <v>120</v>
      </c>
      <c r="D63" s="5" t="s">
        <v>20</v>
      </c>
      <c r="E63" s="3" t="n">
        <v>2019</v>
      </c>
      <c r="F63" s="4"/>
      <c r="G63" s="4"/>
      <c r="H63" s="3" t="s">
        <v>265</v>
      </c>
      <c r="I63" s="6" t="s">
        <v>266</v>
      </c>
      <c r="J63" s="5" t="s">
        <v>23</v>
      </c>
      <c r="K63" s="7" t="s">
        <v>17</v>
      </c>
    </row>
    <row r="64" customFormat="false" ht="23.85" hidden="false" customHeight="false" outlineLevel="0" collapsed="false">
      <c r="A64" s="3" t="n">
        <v>63</v>
      </c>
      <c r="B64" s="4" t="s">
        <v>267</v>
      </c>
      <c r="C64" s="4" t="s">
        <v>268</v>
      </c>
      <c r="D64" s="5" t="s">
        <v>20</v>
      </c>
      <c r="E64" s="3" t="n">
        <v>2018</v>
      </c>
      <c r="F64" s="4"/>
      <c r="G64" s="4"/>
      <c r="H64" s="3" t="s">
        <v>269</v>
      </c>
      <c r="I64" s="6" t="s">
        <v>270</v>
      </c>
      <c r="J64" s="5" t="s">
        <v>46</v>
      </c>
      <c r="K64" s="7" t="s">
        <v>17</v>
      </c>
    </row>
    <row r="65" customFormat="false" ht="23.85" hidden="false" customHeight="false" outlineLevel="0" collapsed="false">
      <c r="A65" s="3" t="n">
        <v>64</v>
      </c>
      <c r="B65" s="4" t="s">
        <v>271</v>
      </c>
      <c r="C65" s="4" t="s">
        <v>272</v>
      </c>
      <c r="D65" s="5" t="s">
        <v>20</v>
      </c>
      <c r="E65" s="3" t="n">
        <v>2019</v>
      </c>
      <c r="F65" s="4"/>
      <c r="G65" s="4"/>
      <c r="H65" s="3" t="s">
        <v>273</v>
      </c>
      <c r="I65" s="6" t="s">
        <v>274</v>
      </c>
      <c r="J65" s="5" t="s">
        <v>90</v>
      </c>
      <c r="K65" s="8" t="s">
        <v>28</v>
      </c>
    </row>
    <row r="66" customFormat="false" ht="15" hidden="false" customHeight="false" outlineLevel="0" collapsed="false">
      <c r="A66" s="3" t="n">
        <v>65</v>
      </c>
      <c r="B66" s="4" t="s">
        <v>275</v>
      </c>
      <c r="C66" s="4" t="s">
        <v>276</v>
      </c>
      <c r="D66" s="5" t="s">
        <v>13</v>
      </c>
      <c r="E66" s="3" t="n">
        <v>2019</v>
      </c>
      <c r="F66" s="4"/>
      <c r="G66" s="4"/>
      <c r="H66" s="3" t="s">
        <v>277</v>
      </c>
      <c r="I66" s="6" t="s">
        <v>278</v>
      </c>
      <c r="J66" s="5" t="s">
        <v>101</v>
      </c>
      <c r="K66" s="9" t="s">
        <v>33</v>
      </c>
    </row>
    <row r="67" customFormat="false" ht="15" hidden="false" customHeight="false" outlineLevel="0" collapsed="false">
      <c r="A67" s="3" t="n">
        <v>66</v>
      </c>
      <c r="B67" s="4" t="s">
        <v>279</v>
      </c>
      <c r="C67" s="4" t="s">
        <v>280</v>
      </c>
      <c r="D67" s="5" t="s">
        <v>20</v>
      </c>
      <c r="E67" s="3" t="n">
        <v>2019</v>
      </c>
      <c r="F67" s="4"/>
      <c r="G67" s="4"/>
      <c r="H67" s="3" t="s">
        <v>281</v>
      </c>
      <c r="I67" s="6" t="s">
        <v>282</v>
      </c>
      <c r="J67" s="5" t="s">
        <v>27</v>
      </c>
      <c r="K67" s="8" t="s">
        <v>28</v>
      </c>
    </row>
    <row r="68" customFormat="false" ht="15" hidden="false" customHeight="false" outlineLevel="0" collapsed="false">
      <c r="A68" s="3" t="n">
        <v>67</v>
      </c>
      <c r="B68" s="4" t="s">
        <v>283</v>
      </c>
      <c r="C68" s="4" t="s">
        <v>284</v>
      </c>
      <c r="D68" s="5" t="s">
        <v>20</v>
      </c>
      <c r="E68" s="3" t="n">
        <v>2019</v>
      </c>
      <c r="F68" s="4" t="s">
        <v>285</v>
      </c>
      <c r="G68" s="4"/>
      <c r="H68" s="3" t="s">
        <v>286</v>
      </c>
      <c r="I68" s="6" t="s">
        <v>287</v>
      </c>
      <c r="J68" s="5" t="s">
        <v>85</v>
      </c>
      <c r="K68" s="9" t="s">
        <v>33</v>
      </c>
    </row>
    <row r="69" customFormat="false" ht="15" hidden="false" customHeight="false" outlineLevel="0" collapsed="false">
      <c r="A69" s="3" t="n">
        <v>68</v>
      </c>
      <c r="B69" s="4" t="s">
        <v>288</v>
      </c>
      <c r="C69" s="4" t="s">
        <v>289</v>
      </c>
      <c r="D69" s="5" t="s">
        <v>20</v>
      </c>
      <c r="E69" s="3" t="n">
        <v>2019</v>
      </c>
      <c r="F69" s="4" t="s">
        <v>290</v>
      </c>
      <c r="G69" s="4"/>
      <c r="H69" s="3" t="s">
        <v>291</v>
      </c>
      <c r="I69" s="6" t="s">
        <v>292</v>
      </c>
      <c r="J69" s="5" t="s">
        <v>114</v>
      </c>
      <c r="K69" s="9" t="s">
        <v>33</v>
      </c>
    </row>
    <row r="70" customFormat="false" ht="15" hidden="false" customHeight="false" outlineLevel="0" collapsed="false">
      <c r="A70" s="3" t="n">
        <v>69</v>
      </c>
      <c r="B70" s="4" t="s">
        <v>293</v>
      </c>
      <c r="C70" s="4" t="s">
        <v>294</v>
      </c>
      <c r="D70" s="5" t="s">
        <v>20</v>
      </c>
      <c r="E70" s="3" t="n">
        <v>2018</v>
      </c>
      <c r="F70" s="4"/>
      <c r="G70" s="4"/>
      <c r="H70" s="3" t="s">
        <v>295</v>
      </c>
      <c r="I70" s="6" t="s">
        <v>296</v>
      </c>
      <c r="J70" s="5" t="s">
        <v>27</v>
      </c>
      <c r="K70" s="8" t="s">
        <v>28</v>
      </c>
    </row>
    <row r="71" customFormat="false" ht="15" hidden="false" customHeight="false" outlineLevel="0" collapsed="false">
      <c r="A71" s="3" t="n">
        <v>70</v>
      </c>
      <c r="B71" s="4" t="s">
        <v>297</v>
      </c>
      <c r="C71" s="4" t="s">
        <v>298</v>
      </c>
      <c r="D71" s="5" t="s">
        <v>20</v>
      </c>
      <c r="E71" s="3" t="n">
        <v>2018</v>
      </c>
      <c r="F71" s="4"/>
      <c r="G71" s="4" t="s">
        <v>299</v>
      </c>
      <c r="H71" s="3" t="s">
        <v>300</v>
      </c>
      <c r="I71" s="6" t="s">
        <v>301</v>
      </c>
      <c r="J71" s="5" t="s">
        <v>174</v>
      </c>
      <c r="K71" s="8" t="s">
        <v>28</v>
      </c>
    </row>
    <row r="72" customFormat="false" ht="23.85" hidden="false" customHeight="false" outlineLevel="0" collapsed="false">
      <c r="A72" s="3" t="n">
        <v>71</v>
      </c>
      <c r="B72" s="4" t="s">
        <v>302</v>
      </c>
      <c r="C72" s="4" t="s">
        <v>303</v>
      </c>
      <c r="D72" s="5" t="s">
        <v>20</v>
      </c>
      <c r="E72" s="3" t="n">
        <v>2018</v>
      </c>
      <c r="F72" s="4"/>
      <c r="G72" s="4"/>
      <c r="H72" s="3" t="s">
        <v>304</v>
      </c>
      <c r="I72" s="6" t="s">
        <v>305</v>
      </c>
      <c r="J72" s="5" t="s">
        <v>27</v>
      </c>
      <c r="K72" s="7" t="s">
        <v>17</v>
      </c>
    </row>
    <row r="73" customFormat="false" ht="15" hidden="false" customHeight="false" outlineLevel="0" collapsed="false">
      <c r="A73" s="3" t="n">
        <v>72</v>
      </c>
      <c r="B73" s="4" t="s">
        <v>306</v>
      </c>
      <c r="C73" s="4" t="s">
        <v>307</v>
      </c>
      <c r="D73" s="5" t="s">
        <v>20</v>
      </c>
      <c r="E73" s="3" t="n">
        <v>2018</v>
      </c>
      <c r="F73" s="4"/>
      <c r="G73" s="4"/>
      <c r="H73" s="3" t="s">
        <v>308</v>
      </c>
      <c r="I73" s="6" t="s">
        <v>309</v>
      </c>
      <c r="J73" s="5" t="s">
        <v>90</v>
      </c>
      <c r="K73" s="7" t="s">
        <v>17</v>
      </c>
    </row>
    <row r="74" customFormat="false" ht="23.85" hidden="false" customHeight="false" outlineLevel="0" collapsed="false">
      <c r="A74" s="3" t="n">
        <v>73</v>
      </c>
      <c r="B74" s="4" t="s">
        <v>310</v>
      </c>
      <c r="C74" s="4" t="s">
        <v>311</v>
      </c>
      <c r="D74" s="5" t="s">
        <v>20</v>
      </c>
      <c r="E74" s="3" t="n">
        <v>2018</v>
      </c>
      <c r="F74" s="4"/>
      <c r="G74" s="4"/>
      <c r="H74" s="3" t="s">
        <v>312</v>
      </c>
      <c r="I74" s="6" t="s">
        <v>313</v>
      </c>
      <c r="J74" s="5" t="s">
        <v>174</v>
      </c>
      <c r="K74" s="9" t="s">
        <v>33</v>
      </c>
    </row>
    <row r="75" customFormat="false" ht="15" hidden="false" customHeight="false" outlineLevel="0" collapsed="false">
      <c r="A75" s="3" t="n">
        <v>74</v>
      </c>
      <c r="B75" s="4" t="s">
        <v>314</v>
      </c>
      <c r="C75" s="4"/>
      <c r="D75" s="5" t="s">
        <v>20</v>
      </c>
      <c r="E75" s="3" t="n">
        <v>2016</v>
      </c>
      <c r="F75" s="4"/>
      <c r="G75" s="4"/>
      <c r="H75" s="3" t="s">
        <v>315</v>
      </c>
      <c r="I75" s="6" t="s">
        <v>316</v>
      </c>
      <c r="J75" s="5" t="s">
        <v>16</v>
      </c>
      <c r="K75" s="7" t="s">
        <v>17</v>
      </c>
    </row>
    <row r="76" customFormat="false" ht="15" hidden="false" customHeight="false" outlineLevel="0" collapsed="false">
      <c r="A76" s="3" t="n">
        <v>75</v>
      </c>
      <c r="B76" s="4" t="s">
        <v>317</v>
      </c>
      <c r="C76" s="4" t="s">
        <v>318</v>
      </c>
      <c r="D76" s="5" t="s">
        <v>20</v>
      </c>
      <c r="E76" s="3" t="n">
        <v>2018</v>
      </c>
      <c r="F76" s="4"/>
      <c r="G76" s="4"/>
      <c r="H76" s="3" t="s">
        <v>319</v>
      </c>
      <c r="I76" s="6" t="s">
        <v>320</v>
      </c>
      <c r="J76" s="5" t="s">
        <v>27</v>
      </c>
      <c r="K76" s="8" t="s">
        <v>28</v>
      </c>
    </row>
    <row r="77" customFormat="false" ht="15" hidden="false" customHeight="false" outlineLevel="0" collapsed="false">
      <c r="A77" s="3" t="n">
        <v>76</v>
      </c>
      <c r="B77" s="4" t="s">
        <v>321</v>
      </c>
      <c r="C77" s="4" t="s">
        <v>322</v>
      </c>
      <c r="D77" s="5" t="s">
        <v>20</v>
      </c>
      <c r="E77" s="3" t="n">
        <v>2018</v>
      </c>
      <c r="F77" s="4"/>
      <c r="G77" s="4"/>
      <c r="H77" s="3" t="s">
        <v>323</v>
      </c>
      <c r="I77" s="6" t="s">
        <v>324</v>
      </c>
      <c r="J77" s="5" t="s">
        <v>165</v>
      </c>
      <c r="K77" s="9" t="s">
        <v>33</v>
      </c>
    </row>
    <row r="78" customFormat="false" ht="15" hidden="false" customHeight="false" outlineLevel="0" collapsed="false">
      <c r="A78" s="3" t="n">
        <v>77</v>
      </c>
      <c r="B78" s="4" t="s">
        <v>325</v>
      </c>
      <c r="C78" s="4"/>
      <c r="D78" s="5" t="s">
        <v>20</v>
      </c>
      <c r="E78" s="3" t="n">
        <v>2017</v>
      </c>
      <c r="F78" s="4"/>
      <c r="G78" s="4"/>
      <c r="H78" s="3" t="s">
        <v>326</v>
      </c>
      <c r="I78" s="6" t="s">
        <v>327</v>
      </c>
      <c r="J78" s="5" t="s">
        <v>90</v>
      </c>
      <c r="K78" s="9" t="s">
        <v>33</v>
      </c>
    </row>
    <row r="79" customFormat="false" ht="23.85" hidden="false" customHeight="false" outlineLevel="0" collapsed="false">
      <c r="A79" s="3" t="n">
        <v>78</v>
      </c>
      <c r="B79" s="4" t="s">
        <v>328</v>
      </c>
      <c r="C79" s="4" t="s">
        <v>329</v>
      </c>
      <c r="D79" s="5" t="s">
        <v>20</v>
      </c>
      <c r="E79" s="3" t="n">
        <v>2017</v>
      </c>
      <c r="F79" s="4" t="s">
        <v>330</v>
      </c>
      <c r="G79" s="4"/>
      <c r="H79" s="3" t="s">
        <v>331</v>
      </c>
      <c r="I79" s="6" t="s">
        <v>332</v>
      </c>
      <c r="J79" s="5" t="s">
        <v>165</v>
      </c>
      <c r="K79" s="9" t="s">
        <v>33</v>
      </c>
    </row>
    <row r="80" customFormat="false" ht="23.85" hidden="false" customHeight="false" outlineLevel="0" collapsed="false">
      <c r="A80" s="3" t="n">
        <v>79</v>
      </c>
      <c r="B80" s="4" t="s">
        <v>333</v>
      </c>
      <c r="C80" s="4"/>
      <c r="D80" s="5" t="s">
        <v>20</v>
      </c>
      <c r="E80" s="3" t="n">
        <v>2017</v>
      </c>
      <c r="F80" s="4"/>
      <c r="G80" s="4" t="s">
        <v>334</v>
      </c>
      <c r="H80" s="3" t="s">
        <v>335</v>
      </c>
      <c r="I80" s="6" t="s">
        <v>336</v>
      </c>
      <c r="J80" s="5" t="s">
        <v>46</v>
      </c>
      <c r="K80" s="8" t="s">
        <v>28</v>
      </c>
    </row>
    <row r="81" customFormat="false" ht="23.85" hidden="false" customHeight="false" outlineLevel="0" collapsed="false">
      <c r="A81" s="3" t="n">
        <v>80</v>
      </c>
      <c r="B81" s="4" t="s">
        <v>337</v>
      </c>
      <c r="C81" s="4" t="s">
        <v>223</v>
      </c>
      <c r="D81" s="5" t="s">
        <v>20</v>
      </c>
      <c r="E81" s="3" t="n">
        <v>2017</v>
      </c>
      <c r="F81" s="4"/>
      <c r="G81" s="4"/>
      <c r="H81" s="3" t="s">
        <v>338</v>
      </c>
      <c r="I81" s="6" t="s">
        <v>339</v>
      </c>
      <c r="J81" s="5" t="s">
        <v>90</v>
      </c>
      <c r="K81" s="8" t="s">
        <v>28</v>
      </c>
    </row>
    <row r="82" customFormat="false" ht="23.85" hidden="false" customHeight="false" outlineLevel="0" collapsed="false">
      <c r="A82" s="3" t="n">
        <v>81</v>
      </c>
      <c r="B82" s="4" t="s">
        <v>340</v>
      </c>
      <c r="C82" s="4" t="s">
        <v>341</v>
      </c>
      <c r="D82" s="5" t="s">
        <v>20</v>
      </c>
      <c r="E82" s="3" t="n">
        <v>2017</v>
      </c>
      <c r="F82" s="4"/>
      <c r="G82" s="4"/>
      <c r="H82" s="3" t="s">
        <v>342</v>
      </c>
      <c r="I82" s="6" t="s">
        <v>343</v>
      </c>
      <c r="J82" s="5" t="s">
        <v>169</v>
      </c>
      <c r="K82" s="9" t="s">
        <v>33</v>
      </c>
    </row>
    <row r="83" customFormat="false" ht="15" hidden="false" customHeight="false" outlineLevel="0" collapsed="false">
      <c r="A83" s="3" t="n">
        <v>82</v>
      </c>
      <c r="B83" s="4" t="s">
        <v>344</v>
      </c>
      <c r="C83" s="4" t="s">
        <v>345</v>
      </c>
      <c r="D83" s="5" t="s">
        <v>20</v>
      </c>
      <c r="E83" s="3" t="n">
        <v>2016</v>
      </c>
      <c r="F83" s="4"/>
      <c r="G83" s="4"/>
      <c r="H83" s="3" t="s">
        <v>346</v>
      </c>
      <c r="I83" s="6" t="s">
        <v>347</v>
      </c>
      <c r="J83" s="5" t="s">
        <v>114</v>
      </c>
      <c r="K83" s="8" t="s">
        <v>28</v>
      </c>
    </row>
    <row r="84" customFormat="false" ht="15" hidden="false" customHeight="false" outlineLevel="0" collapsed="false">
      <c r="A84" s="3" t="n">
        <v>83</v>
      </c>
      <c r="B84" s="4" t="s">
        <v>348</v>
      </c>
      <c r="C84" s="4"/>
      <c r="D84" s="5" t="s">
        <v>20</v>
      </c>
      <c r="E84" s="3" t="n">
        <v>2016</v>
      </c>
      <c r="F84" s="4"/>
      <c r="G84" s="4"/>
      <c r="H84" s="3" t="s">
        <v>349</v>
      </c>
      <c r="I84" s="6" t="s">
        <v>350</v>
      </c>
      <c r="J84" s="5" t="s">
        <v>32</v>
      </c>
      <c r="K84" s="9" t="s">
        <v>33</v>
      </c>
    </row>
    <row r="85" customFormat="false" ht="15" hidden="false" customHeight="false" outlineLevel="0" collapsed="false">
      <c r="A85" s="3" t="n">
        <v>84</v>
      </c>
      <c r="B85" s="4" t="s">
        <v>351</v>
      </c>
      <c r="C85" s="4" t="s">
        <v>352</v>
      </c>
      <c r="D85" s="5" t="s">
        <v>20</v>
      </c>
      <c r="E85" s="3" t="n">
        <v>2015</v>
      </c>
      <c r="F85" s="4"/>
      <c r="G85" s="4"/>
      <c r="H85" s="3" t="s">
        <v>353</v>
      </c>
      <c r="I85" s="6" t="s">
        <v>354</v>
      </c>
      <c r="J85" s="5" t="s">
        <v>23</v>
      </c>
      <c r="K85" s="9" t="s">
        <v>33</v>
      </c>
    </row>
    <row r="86" customFormat="false" ht="15" hidden="false" customHeight="false" outlineLevel="0" collapsed="false">
      <c r="A86" s="3" t="n">
        <v>85</v>
      </c>
      <c r="B86" s="4" t="s">
        <v>355</v>
      </c>
      <c r="C86" s="4" t="s">
        <v>356</v>
      </c>
      <c r="D86" s="5" t="s">
        <v>20</v>
      </c>
      <c r="E86" s="3" t="n">
        <v>2015</v>
      </c>
      <c r="F86" s="4"/>
      <c r="G86" s="4"/>
      <c r="H86" s="3" t="s">
        <v>357</v>
      </c>
      <c r="I86" s="6" t="s">
        <v>358</v>
      </c>
      <c r="J86" s="5" t="s">
        <v>90</v>
      </c>
      <c r="K86" s="8" t="s">
        <v>28</v>
      </c>
    </row>
    <row r="87" customFormat="false" ht="23.85" hidden="false" customHeight="false" outlineLevel="0" collapsed="false">
      <c r="A87" s="3" t="n">
        <v>86</v>
      </c>
      <c r="B87" s="4" t="s">
        <v>359</v>
      </c>
      <c r="C87" s="4" t="s">
        <v>360</v>
      </c>
      <c r="D87" s="5" t="s">
        <v>20</v>
      </c>
      <c r="E87" s="3" t="n">
        <v>2015</v>
      </c>
      <c r="F87" s="4" t="s">
        <v>361</v>
      </c>
      <c r="G87" s="4"/>
      <c r="H87" s="3" t="s">
        <v>362</v>
      </c>
      <c r="I87" s="6" t="s">
        <v>363</v>
      </c>
      <c r="J87" s="5" t="s">
        <v>23</v>
      </c>
      <c r="K87" s="7" t="s">
        <v>17</v>
      </c>
    </row>
    <row r="88" customFormat="false" ht="23.85" hidden="false" customHeight="false" outlineLevel="0" collapsed="false">
      <c r="A88" s="3" t="n">
        <v>87</v>
      </c>
      <c r="B88" s="4" t="s">
        <v>134</v>
      </c>
      <c r="C88" s="4" t="s">
        <v>364</v>
      </c>
      <c r="D88" s="5" t="s">
        <v>20</v>
      </c>
      <c r="E88" s="3" t="n">
        <v>2015</v>
      </c>
      <c r="F88" s="4"/>
      <c r="G88" s="4"/>
      <c r="H88" s="3" t="s">
        <v>365</v>
      </c>
      <c r="I88" s="6" t="s">
        <v>366</v>
      </c>
      <c r="J88" s="5" t="s">
        <v>85</v>
      </c>
      <c r="K88" s="8" t="s">
        <v>28</v>
      </c>
    </row>
    <row r="89" customFormat="false" ht="15" hidden="false" customHeight="false" outlineLevel="0" collapsed="false">
      <c r="A89" s="3" t="n">
        <v>88</v>
      </c>
      <c r="B89" s="4" t="s">
        <v>367</v>
      </c>
      <c r="C89" s="4" t="s">
        <v>368</v>
      </c>
      <c r="D89" s="5" t="s">
        <v>20</v>
      </c>
      <c r="E89" s="3" t="n">
        <v>2015</v>
      </c>
      <c r="F89" s="4"/>
      <c r="G89" s="4"/>
      <c r="H89" s="3" t="s">
        <v>369</v>
      </c>
      <c r="I89" s="6" t="s">
        <v>370</v>
      </c>
      <c r="J89" s="5" t="s">
        <v>27</v>
      </c>
      <c r="K89" s="8" t="s">
        <v>28</v>
      </c>
    </row>
    <row r="90" customFormat="false" ht="15" hidden="false" customHeight="false" outlineLevel="0" collapsed="false">
      <c r="A90" s="3" t="n">
        <v>89</v>
      </c>
      <c r="B90" s="4" t="s">
        <v>371</v>
      </c>
      <c r="C90" s="4"/>
      <c r="D90" s="5" t="s">
        <v>20</v>
      </c>
      <c r="E90" s="3" t="n">
        <v>2015</v>
      </c>
      <c r="F90" s="4"/>
      <c r="G90" s="4"/>
      <c r="H90" s="3" t="s">
        <v>372</v>
      </c>
      <c r="I90" s="6" t="s">
        <v>373</v>
      </c>
      <c r="J90" s="5" t="s">
        <v>156</v>
      </c>
      <c r="K90" s="9" t="s">
        <v>33</v>
      </c>
    </row>
    <row r="91" customFormat="false" ht="15" hidden="false" customHeight="false" outlineLevel="0" collapsed="false">
      <c r="A91" s="3" t="n">
        <v>90</v>
      </c>
      <c r="B91" s="4" t="s">
        <v>374</v>
      </c>
      <c r="C91" s="4" t="s">
        <v>375</v>
      </c>
      <c r="D91" s="5" t="s">
        <v>20</v>
      </c>
      <c r="E91" s="3" t="n">
        <v>2015</v>
      </c>
      <c r="F91" s="4"/>
      <c r="G91" s="4"/>
      <c r="H91" s="3" t="s">
        <v>376</v>
      </c>
      <c r="I91" s="6" t="s">
        <v>377</v>
      </c>
      <c r="J91" s="5" t="s">
        <v>23</v>
      </c>
      <c r="K91" s="9" t="s">
        <v>33</v>
      </c>
    </row>
    <row r="92" customFormat="false" ht="15" hidden="false" customHeight="false" outlineLevel="0" collapsed="false">
      <c r="A92" s="3" t="n">
        <v>91</v>
      </c>
      <c r="B92" s="4" t="s">
        <v>203</v>
      </c>
      <c r="C92" s="4" t="s">
        <v>378</v>
      </c>
      <c r="D92" s="5" t="s">
        <v>20</v>
      </c>
      <c r="E92" s="3" t="n">
        <v>2015</v>
      </c>
      <c r="F92" s="4"/>
      <c r="G92" s="4"/>
      <c r="H92" s="3" t="s">
        <v>379</v>
      </c>
      <c r="I92" s="6" t="s">
        <v>380</v>
      </c>
      <c r="J92" s="5" t="s">
        <v>165</v>
      </c>
      <c r="K92" s="9" t="s">
        <v>33</v>
      </c>
    </row>
    <row r="93" customFormat="false" ht="23.85" hidden="false" customHeight="false" outlineLevel="0" collapsed="false">
      <c r="A93" s="3" t="n">
        <v>92</v>
      </c>
      <c r="B93" s="4" t="s">
        <v>143</v>
      </c>
      <c r="C93" s="4" t="s">
        <v>381</v>
      </c>
      <c r="D93" s="5" t="s">
        <v>20</v>
      </c>
      <c r="E93" s="3" t="n">
        <v>2014</v>
      </c>
      <c r="F93" s="4" t="s">
        <v>382</v>
      </c>
      <c r="G93" s="4"/>
      <c r="H93" s="3" t="s">
        <v>383</v>
      </c>
      <c r="I93" s="6" t="s">
        <v>384</v>
      </c>
      <c r="J93" s="5" t="s">
        <v>148</v>
      </c>
      <c r="K93" s="9" t="s">
        <v>33</v>
      </c>
    </row>
    <row r="94" customFormat="false" ht="15" hidden="false" customHeight="false" outlineLevel="0" collapsed="false">
      <c r="A94" s="3" t="n">
        <v>93</v>
      </c>
      <c r="B94" s="4" t="s">
        <v>385</v>
      </c>
      <c r="C94" s="4"/>
      <c r="D94" s="5" t="s">
        <v>20</v>
      </c>
      <c r="E94" s="3" t="n">
        <v>2014</v>
      </c>
      <c r="F94" s="4" t="s">
        <v>386</v>
      </c>
      <c r="G94" s="4"/>
      <c r="H94" s="3" t="s">
        <v>387</v>
      </c>
      <c r="I94" s="6" t="s">
        <v>388</v>
      </c>
      <c r="J94" s="5" t="s">
        <v>69</v>
      </c>
      <c r="K94" s="9" t="s">
        <v>33</v>
      </c>
    </row>
    <row r="95" customFormat="false" ht="15" hidden="false" customHeight="false" outlineLevel="0" collapsed="false">
      <c r="A95" s="3" t="n">
        <v>94</v>
      </c>
      <c r="B95" s="4" t="s">
        <v>389</v>
      </c>
      <c r="C95" s="4"/>
      <c r="D95" s="5" t="s">
        <v>20</v>
      </c>
      <c r="E95" s="3" t="n">
        <v>2014</v>
      </c>
      <c r="F95" s="4"/>
      <c r="G95" s="4"/>
      <c r="H95" s="3" t="s">
        <v>390</v>
      </c>
      <c r="I95" s="6" t="s">
        <v>391</v>
      </c>
      <c r="J95" s="5" t="s">
        <v>27</v>
      </c>
      <c r="K95" s="8" t="s">
        <v>28</v>
      </c>
    </row>
    <row r="96" customFormat="false" ht="23.85" hidden="false" customHeight="false" outlineLevel="0" collapsed="false">
      <c r="A96" s="3" t="n">
        <v>95</v>
      </c>
      <c r="B96" s="4" t="s">
        <v>392</v>
      </c>
      <c r="C96" s="4" t="s">
        <v>393</v>
      </c>
      <c r="D96" s="5" t="s">
        <v>20</v>
      </c>
      <c r="E96" s="3" t="n">
        <v>2014</v>
      </c>
      <c r="F96" s="4"/>
      <c r="G96" s="4" t="s">
        <v>394</v>
      </c>
      <c r="H96" s="3" t="s">
        <v>395</v>
      </c>
      <c r="I96" s="6" t="s">
        <v>396</v>
      </c>
      <c r="J96" s="5" t="s">
        <v>46</v>
      </c>
      <c r="K96" s="8" t="s">
        <v>28</v>
      </c>
    </row>
    <row r="97" customFormat="false" ht="15" hidden="false" customHeight="false" outlineLevel="0" collapsed="false">
      <c r="A97" s="3" t="n">
        <v>96</v>
      </c>
      <c r="B97" s="4" t="s">
        <v>302</v>
      </c>
      <c r="C97" s="4" t="s">
        <v>397</v>
      </c>
      <c r="D97" s="5" t="s">
        <v>20</v>
      </c>
      <c r="E97" s="3" t="n">
        <v>2012</v>
      </c>
      <c r="F97" s="4"/>
      <c r="G97" s="4"/>
      <c r="H97" s="3" t="s">
        <v>398</v>
      </c>
      <c r="I97" s="6" t="s">
        <v>399</v>
      </c>
      <c r="J97" s="5" t="s">
        <v>27</v>
      </c>
      <c r="K97" s="7" t="s">
        <v>17</v>
      </c>
    </row>
    <row r="98" customFormat="false" ht="15" hidden="false" customHeight="false" outlineLevel="0" collapsed="false">
      <c r="A98" s="3" t="n">
        <v>97</v>
      </c>
      <c r="B98" s="4" t="s">
        <v>400</v>
      </c>
      <c r="C98" s="4" t="s">
        <v>12</v>
      </c>
      <c r="D98" s="5" t="s">
        <v>20</v>
      </c>
      <c r="E98" s="3" t="n">
        <v>2011</v>
      </c>
      <c r="F98" s="4"/>
      <c r="G98" s="4"/>
      <c r="H98" s="3" t="s">
        <v>401</v>
      </c>
      <c r="I98" s="6" t="s">
        <v>402</v>
      </c>
      <c r="J98" s="5" t="s">
        <v>46</v>
      </c>
      <c r="K98" s="8" t="s">
        <v>28</v>
      </c>
    </row>
    <row r="99" customFormat="false" ht="15" hidden="false" customHeight="false" outlineLevel="0" collapsed="false">
      <c r="A99" s="3" t="n">
        <v>98</v>
      </c>
      <c r="B99" s="4" t="s">
        <v>403</v>
      </c>
      <c r="C99" s="4" t="s">
        <v>404</v>
      </c>
      <c r="D99" s="5" t="s">
        <v>20</v>
      </c>
      <c r="E99" s="3" t="n">
        <v>2011</v>
      </c>
      <c r="F99" s="4"/>
      <c r="G99" s="4"/>
      <c r="H99" s="3" t="s">
        <v>405</v>
      </c>
      <c r="I99" s="6" t="s">
        <v>406</v>
      </c>
      <c r="J99" s="5" t="s">
        <v>90</v>
      </c>
      <c r="K99" s="9" t="s">
        <v>33</v>
      </c>
    </row>
    <row r="100" customFormat="false" ht="15" hidden="false" customHeight="false" outlineLevel="0" collapsed="false">
      <c r="A100" s="3" t="n">
        <v>99</v>
      </c>
      <c r="B100" s="4" t="s">
        <v>407</v>
      </c>
      <c r="C100" s="4"/>
      <c r="D100" s="5" t="s">
        <v>20</v>
      </c>
      <c r="E100" s="3" t="n">
        <v>2010</v>
      </c>
      <c r="F100" s="4"/>
      <c r="G100" s="4"/>
      <c r="H100" s="3" t="s">
        <v>408</v>
      </c>
      <c r="I100" s="6" t="s">
        <v>409</v>
      </c>
      <c r="J100" s="5" t="s">
        <v>69</v>
      </c>
      <c r="K100" s="9" t="s">
        <v>33</v>
      </c>
    </row>
    <row r="101" customFormat="false" ht="15" hidden="false" customHeight="false" outlineLevel="0" collapsed="false">
      <c r="A101" s="3" t="n">
        <v>100</v>
      </c>
      <c r="B101" s="4" t="s">
        <v>410</v>
      </c>
      <c r="C101" s="4" t="s">
        <v>411</v>
      </c>
      <c r="D101" s="5" t="s">
        <v>20</v>
      </c>
      <c r="E101" s="3" t="n">
        <v>2010</v>
      </c>
      <c r="F101" s="4"/>
      <c r="G101" s="4"/>
      <c r="H101" s="3" t="s">
        <v>412</v>
      </c>
      <c r="I101" s="6" t="s">
        <v>413</v>
      </c>
      <c r="J101" s="5" t="s">
        <v>165</v>
      </c>
      <c r="K101" s="9" t="s">
        <v>33</v>
      </c>
    </row>
    <row r="102" customFormat="false" ht="15" hidden="false" customHeight="false" outlineLevel="0" collapsed="false">
      <c r="A102" s="3" t="n">
        <v>101</v>
      </c>
      <c r="B102" s="4" t="s">
        <v>414</v>
      </c>
      <c r="C102" s="4"/>
      <c r="D102" s="5" t="s">
        <v>20</v>
      </c>
      <c r="E102" s="3" t="n">
        <v>2008</v>
      </c>
      <c r="F102" s="4"/>
      <c r="G102" s="4"/>
      <c r="H102" s="3" t="s">
        <v>415</v>
      </c>
      <c r="I102" s="6" t="s">
        <v>416</v>
      </c>
      <c r="J102" s="5" t="s">
        <v>156</v>
      </c>
      <c r="K102" s="9" t="s">
        <v>33</v>
      </c>
    </row>
    <row r="103" customFormat="false" ht="15" hidden="false" customHeight="false" outlineLevel="0" collapsed="false">
      <c r="A103" s="3" t="n">
        <v>102</v>
      </c>
      <c r="B103" s="4" t="s">
        <v>417</v>
      </c>
      <c r="C103" s="4" t="s">
        <v>418</v>
      </c>
      <c r="D103" s="5" t="s">
        <v>20</v>
      </c>
      <c r="E103" s="3" t="n">
        <v>2008</v>
      </c>
      <c r="F103" s="4" t="s">
        <v>419</v>
      </c>
      <c r="G103" s="4"/>
      <c r="H103" s="3" t="s">
        <v>420</v>
      </c>
      <c r="I103" s="6" t="s">
        <v>421</v>
      </c>
      <c r="J103" s="5" t="s">
        <v>16</v>
      </c>
      <c r="K103" s="7" t="s">
        <v>17</v>
      </c>
    </row>
    <row r="104" customFormat="false" ht="15" hidden="false" customHeight="false" outlineLevel="0" collapsed="false">
      <c r="A104" s="3" t="n">
        <v>103</v>
      </c>
      <c r="B104" s="4" t="s">
        <v>422</v>
      </c>
      <c r="C104" s="4"/>
      <c r="D104" s="5" t="s">
        <v>20</v>
      </c>
      <c r="E104" s="3" t="n">
        <v>2006</v>
      </c>
      <c r="F104" s="4"/>
      <c r="G104" s="4" t="s">
        <v>423</v>
      </c>
      <c r="H104" s="3" t="s">
        <v>424</v>
      </c>
      <c r="I104" s="6" t="s">
        <v>425</v>
      </c>
      <c r="J104" s="5" t="s">
        <v>16</v>
      </c>
      <c r="K104" s="7" t="s">
        <v>17</v>
      </c>
    </row>
    <row r="105" customFormat="false" ht="23.85" hidden="false" customHeight="false" outlineLevel="0" collapsed="false">
      <c r="A105" s="3" t="n">
        <v>104</v>
      </c>
      <c r="B105" s="4" t="s">
        <v>426</v>
      </c>
      <c r="C105" s="4"/>
      <c r="D105" s="5" t="s">
        <v>20</v>
      </c>
      <c r="E105" s="3" t="n">
        <v>2007</v>
      </c>
      <c r="F105" s="4" t="s">
        <v>419</v>
      </c>
      <c r="G105" s="4"/>
      <c r="H105" s="3" t="s">
        <v>427</v>
      </c>
      <c r="I105" s="6" t="s">
        <v>428</v>
      </c>
      <c r="J105" s="5" t="s">
        <v>16</v>
      </c>
      <c r="K105" s="7" t="s">
        <v>17</v>
      </c>
    </row>
    <row r="106" customFormat="false" ht="15" hidden="false" customHeight="false" outlineLevel="0" collapsed="false">
      <c r="A106" s="3" t="n">
        <v>105</v>
      </c>
      <c r="B106" s="4" t="s">
        <v>429</v>
      </c>
      <c r="C106" s="4"/>
      <c r="D106" s="5" t="s">
        <v>20</v>
      </c>
      <c r="E106" s="3" t="n">
        <v>2006</v>
      </c>
      <c r="F106" s="4" t="s">
        <v>419</v>
      </c>
      <c r="G106" s="4"/>
      <c r="H106" s="3" t="s">
        <v>430</v>
      </c>
      <c r="I106" s="6" t="s">
        <v>431</v>
      </c>
      <c r="J106" s="5" t="s">
        <v>174</v>
      </c>
      <c r="K106" s="8" t="s">
        <v>28</v>
      </c>
    </row>
    <row r="107" customFormat="false" ht="15" hidden="false" customHeight="false" outlineLevel="0" collapsed="false">
      <c r="A107" s="3" t="n">
        <v>106</v>
      </c>
      <c r="B107" s="4" t="s">
        <v>432</v>
      </c>
      <c r="C107" s="4"/>
      <c r="D107" s="5" t="s">
        <v>20</v>
      </c>
      <c r="E107" s="3" t="n">
        <v>2004</v>
      </c>
      <c r="F107" s="4"/>
      <c r="G107" s="4"/>
      <c r="H107" s="3" t="s">
        <v>433</v>
      </c>
      <c r="I107" s="6" t="s">
        <v>434</v>
      </c>
      <c r="J107" s="5" t="s">
        <v>69</v>
      </c>
      <c r="K107" s="9" t="s">
        <v>33</v>
      </c>
    </row>
    <row r="108" customFormat="false" ht="15" hidden="false" customHeight="false" outlineLevel="0" collapsed="false">
      <c r="A108" s="3" t="n">
        <v>107</v>
      </c>
      <c r="B108" s="4" t="s">
        <v>435</v>
      </c>
      <c r="C108" s="4"/>
      <c r="D108" s="5" t="s">
        <v>20</v>
      </c>
      <c r="E108" s="3" t="n">
        <v>2004</v>
      </c>
      <c r="F108" s="4" t="s">
        <v>436</v>
      </c>
      <c r="G108" s="4"/>
      <c r="H108" s="3" t="s">
        <v>437</v>
      </c>
      <c r="I108" s="6" t="s">
        <v>438</v>
      </c>
      <c r="J108" s="5" t="s">
        <v>27</v>
      </c>
      <c r="K108" s="8" t="s">
        <v>28</v>
      </c>
    </row>
    <row r="109" customFormat="false" ht="23.85" hidden="false" customHeight="false" outlineLevel="0" collapsed="false">
      <c r="A109" s="3" t="n">
        <v>108</v>
      </c>
      <c r="B109" s="4" t="s">
        <v>439</v>
      </c>
      <c r="C109" s="4"/>
      <c r="D109" s="5" t="s">
        <v>20</v>
      </c>
      <c r="E109" s="3" t="n">
        <v>2002</v>
      </c>
      <c r="F109" s="4" t="s">
        <v>440</v>
      </c>
      <c r="G109" s="4" t="s">
        <v>441</v>
      </c>
      <c r="H109" s="3" t="s">
        <v>442</v>
      </c>
      <c r="I109" s="6" t="s">
        <v>443</v>
      </c>
      <c r="J109" s="5" t="s">
        <v>148</v>
      </c>
      <c r="K109" s="8" t="s">
        <v>28</v>
      </c>
    </row>
    <row r="110" customFormat="false" ht="23.85" hidden="false" customHeight="false" outlineLevel="0" collapsed="false">
      <c r="A110" s="3" t="n">
        <v>109</v>
      </c>
      <c r="B110" s="4" t="s">
        <v>444</v>
      </c>
      <c r="C110" s="4" t="s">
        <v>445</v>
      </c>
      <c r="D110" s="5" t="s">
        <v>20</v>
      </c>
      <c r="E110" s="3" t="n">
        <v>2000</v>
      </c>
      <c r="F110" s="4" t="s">
        <v>446</v>
      </c>
      <c r="G110" s="4"/>
      <c r="H110" s="3" t="s">
        <v>447</v>
      </c>
      <c r="I110" s="6" t="s">
        <v>448</v>
      </c>
      <c r="J110" s="5" t="s">
        <v>174</v>
      </c>
      <c r="K110" s="8" t="s">
        <v>28</v>
      </c>
    </row>
  </sheetData>
  <autoFilter ref="A1:K110"/>
  <hyperlinks>
    <hyperlink ref="I2" r:id="rId1" display="https://link.springer.com/book/10.1007/978-3-031-32026-2"/>
    <hyperlink ref="I3" r:id="rId2" display="https://link.springer.com/book/10.1007/978-3-031-92008-0"/>
    <hyperlink ref="I4" r:id="rId3" display="https://link.springer.com/book/10.1007/978-3-031-84501-7"/>
    <hyperlink ref="I5" r:id="rId4" display="https://link.springer.com/book/10.1007/978-3-031-81037-4"/>
    <hyperlink ref="I6" r:id="rId5" display="https://link.springer.com/book/10.1007/978-3-031-69080-8"/>
    <hyperlink ref="I7" r:id="rId6" display="https://link.springer.com/book/10.1007/978-3-031-20987-1"/>
    <hyperlink ref="I8" r:id="rId7" display="https://link.springer.com/book/9783032369543"/>
    <hyperlink ref="I9" r:id="rId8" display="https://link.springer.com/book/10.1007/978-3-031-29430-3"/>
    <hyperlink ref="I10" r:id="rId9" display="https://link.springer.com/book/10.1007/978-981-19-0228-4"/>
    <hyperlink ref="I11" r:id="rId10" display="https://link.springer.com/book/10.1007/978-3-032-07519-2"/>
    <hyperlink ref="I12" r:id="rId11" display="https://link.springer.com/book/10.1007/978-981-97-1484-1"/>
    <hyperlink ref="I13" r:id="rId12" display="https://link.springer.com/book/10.1007/978-981-97-2461-1"/>
    <hyperlink ref="I14" r:id="rId13" display="https://link.springer.com/book/10.1007/978-3-031-59160-0"/>
    <hyperlink ref="I15" r:id="rId14" display="https://link.springer.com/book/10.1007/978-3-031-86558-9"/>
    <hyperlink ref="I16" r:id="rId15" display="https://link.springer.com/book/10.1007/978-3-030-87003-4"/>
    <hyperlink ref="I17" r:id="rId16" display="https://link.springer.com/book/9789819738762"/>
    <hyperlink ref="I18" r:id="rId17" display="https://link.springer.com/book/10.1007/978-981-19-7884-5"/>
    <hyperlink ref="I19" r:id="rId18" display="https://link.springer.com/book/10.1007/978-981-19-7761-9"/>
    <hyperlink ref="I20" r:id="rId19" display="https://link.springer.com/book/10.1007/978-981-97-4087-1"/>
    <hyperlink ref="I21" r:id="rId20" display="https://link.springer.com/book/10.1007/978-3-031-45594-0"/>
    <hyperlink ref="I22" r:id="rId21" display="https://link.springer.com/book/10.1007/978-3-031-78534-4"/>
    <hyperlink ref="I23" r:id="rId22" display="https://link.springer.com/book/10.1007/978-3-030-98791-6"/>
    <hyperlink ref="I24" r:id="rId23" display="https://link.springer.com/book/10.1007/978-981-99-2575-9"/>
    <hyperlink ref="I25" r:id="rId24" display="https://link.springer.com/book/10.1007/978-3-030-66352-0"/>
    <hyperlink ref="I26" r:id="rId25" display="https://link.springer.com/book/10.1007/978-3-031-08682-3"/>
    <hyperlink ref="I27" r:id="rId26" display="https://link.springer.com/book/10.1007/978-3-031-04406-9"/>
    <hyperlink ref="I28" r:id="rId27" display="https://link.springer.com/book/10.1007/978-3-031-32072-9"/>
    <hyperlink ref="I29" r:id="rId28" display="https://link.springer.com/book/10.1007/978-3-030-82869-1"/>
    <hyperlink ref="I30" r:id="rId29" display="https://link.springer.com/book/10.1007/978-3-031-27253-0"/>
    <hyperlink ref="I31" r:id="rId30" display="https://link.springer.com/book/10.1007/978-981-19-9612-2"/>
    <hyperlink ref="I32" r:id="rId31" display="https://link.springer.com/book/10.1007/978-3-030-92717-2"/>
    <hyperlink ref="I33" r:id="rId32" display="https://link.springer.com/book/10.1007/978-3-030-94702-6"/>
    <hyperlink ref="I34" r:id="rId33" display="https://link.springer.com/book/10.1007/978-3-031-05002-2"/>
    <hyperlink ref="I35" r:id="rId34" display="https://link.springer.com/book/10.1007/978-3-030-93990-8"/>
    <hyperlink ref="I36" r:id="rId35" display="https://link.springer.com/book/10.1007/978-3-030-46574-2"/>
    <hyperlink ref="I37" r:id="rId36" display="https://link.springer.com/book/10.1007/978-981-16-3488-8"/>
    <hyperlink ref="I38" r:id="rId37" display="https://link.springer.com/book/10.1007/978-3-030-78969-5"/>
    <hyperlink ref="I39" r:id="rId38" display="https://link.springer.com/book/10.1007/978-3-030-79481-1"/>
    <hyperlink ref="I40" r:id="rId39" display="https://link.springer.com/book/10.1007/978-3-030-84950-4"/>
    <hyperlink ref="I41" r:id="rId40" display="https://link.springer.com/book/10.1007/978-3-030-60746-3"/>
    <hyperlink ref="I42" r:id="rId41" display="https://link.springer.com/book/10.1007/978-3-030-69567-5"/>
    <hyperlink ref="I43" r:id="rId42" display="https://link.springer.com/book/10.1007/978-3-030-65335-4"/>
    <hyperlink ref="I44" r:id="rId43" display="https://link.springer.com/book/10.1007/978-3-030-56025-6"/>
    <hyperlink ref="I45" r:id="rId44" display="https://link.springer.com/book/10.1007/978-3-030-63019-5"/>
    <hyperlink ref="I46" r:id="rId45" display="https://link.springer.com/book/10.1007/978-3-030-64159-7"/>
    <hyperlink ref="I47" r:id="rId46" display="https://link.springer.com/book/10.1007/978-3-030-73610-1"/>
    <hyperlink ref="I48" r:id="rId47" display="https://link.springer.com/book/10.1007/978-981-10-7033-4"/>
    <hyperlink ref="I49" r:id="rId48" display="https://link.springer.com/book/10.1007/978-3-030-56670-8"/>
    <hyperlink ref="I50" r:id="rId49" display="https://link.springer.com/book/10.1007/978-3-030-44492-1"/>
    <hyperlink ref="I51" r:id="rId50" display="https://link.springer.com/book/10.1007/978-3-030-40655-4"/>
    <hyperlink ref="I52" r:id="rId51" display="https://link.springer.com/book/10.1007/978-3-030-46646-6"/>
    <hyperlink ref="I53" r:id="rId52" display="https://link.springer.com/book/10.1007/978-3-030-42771-9"/>
    <hyperlink ref="I54" r:id="rId53" display="https://link.springer.com/book/10.1007/978-3-030-14455-5"/>
    <hyperlink ref="I55" r:id="rId54" display="https://link.springer.com/book/10.1007/978-3-030-24773-7"/>
    <hyperlink ref="I56" r:id="rId55" display="https://link.springer.com/book/10.1007/978-3-030-29231-7"/>
    <hyperlink ref="I57" r:id="rId56" display="https://link.springer.com/book/10.1007/978-3-319-78387-1"/>
    <hyperlink ref="I58" r:id="rId57" display="https://link.springer.com/book/10.1007/978-3-030-20925-4"/>
    <hyperlink ref="I59" r:id="rId58" display="https://link.springer.com/book/10.1007/978-3-319-95708-1"/>
    <hyperlink ref="I60" r:id="rId59" display="https://link.springer.com/book/10.1007/978-3-030-13290-3"/>
    <hyperlink ref="I61" r:id="rId60" display="https://link.springer.com/book/10.1007/978-3-030-26207-5"/>
    <hyperlink ref="I62" r:id="rId61" display="https://link.springer.com/book/10.1007/978-3-030-22361-8"/>
    <hyperlink ref="I63" r:id="rId62" display="https://link.springer.com/book/10.1007/978-3-030-14171-4"/>
    <hyperlink ref="I64" r:id="rId63" display="https://link.springer.com/book/10.1007/978-3-319-71498-1"/>
    <hyperlink ref="I65" r:id="rId64" display="https://link.springer.com/book/10.1007/978-3-030-12775-6"/>
    <hyperlink ref="I66" r:id="rId65" display="https://link.springer.com/book/10.1007/978-3-030-14778-5"/>
    <hyperlink ref="I67" r:id="rId66" display="https://link.springer.com/book/10.1007/978-3-030-05396-3"/>
    <hyperlink ref="I68" r:id="rId67" display="https://link.springer.com/book/10.1007/978-981-13-1807-8"/>
    <hyperlink ref="I69" r:id="rId68" display="https://link.springer.com/book/10.1007/978-3-030-05538-7"/>
    <hyperlink ref="I70" r:id="rId69" display="https://link.springer.com/book/10.1007/978-3-319-77152-6"/>
    <hyperlink ref="I71" r:id="rId70" display="https://link.springer.com/book/10.1007/978-3-319-72228-3"/>
    <hyperlink ref="I72" r:id="rId71" display="https://link.springer.com/book/10.1007/978-3-662-56558-2"/>
    <hyperlink ref="I73" r:id="rId72" display="https://link.springer.com/book/10.1007/978-3-319-27805-6"/>
    <hyperlink ref="I74" r:id="rId73" display="https://link.springer.com/book/10.1007/978-3-319-74672-2"/>
    <hyperlink ref="I75" r:id="rId74" display="https://link.springer.com/book/10.1007/978-3-662-49149-2"/>
    <hyperlink ref="I76" r:id="rId75" display="https://link.springer.com/book/10.1007/978-3-319-64771-5"/>
    <hyperlink ref="I77" r:id="rId76" display="https://link.springer.com/book/10.1007/978-3-319-72880-3"/>
    <hyperlink ref="I78" r:id="rId77" display="https://link.springer.com/book/10.1007/978-3-319-61946-0"/>
    <hyperlink ref="I79" r:id="rId78" display="https://link.springer.com/book/10.1007/978-3-319-40178-2"/>
    <hyperlink ref="I80" r:id="rId79" display="https://link.springer.com/book/10.1007/978-3-319-55047-3"/>
    <hyperlink ref="I81" r:id="rId80" display="https://link.springer.com/book/10.1007/978-3-319-53584-5"/>
    <hyperlink ref="I82" r:id="rId81" display="https://link.springer.com/book/10.1007/978-1-4614-0694-5"/>
    <hyperlink ref="I83" r:id="rId82" display="https://link.springer.com/book/10.1007/978-4-431-55778-4"/>
    <hyperlink ref="I84" r:id="rId83" display="https://link.springer.com/book/10.1007/978-3-319-14307-1"/>
    <hyperlink ref="I85" r:id="rId84" display="https://link.springer.com/book/10.1007/978-3-319-13227-3"/>
    <hyperlink ref="I86" r:id="rId85" display="https://link.springer.com/book/10.1007/978-1-4899-7534-8"/>
    <hyperlink ref="I87" r:id="rId86" display="https://link.springer.com/book/10.1007/978-3-319-14412-2"/>
    <hyperlink ref="I88" r:id="rId87" display="https://link.springer.com/book/10.1007/978-1-4899-7575-1"/>
    <hyperlink ref="I89" r:id="rId88" display="https://link.springer.com/book/10.1007/978-3-319-12072-0"/>
    <hyperlink ref="I90" r:id="rId89" display="https://link.springer.com/book/10.1007/978-3-319-10780-6"/>
    <hyperlink ref="I91" r:id="rId90" display="https://link.springer.com/book/10.1007/978-1-4899-7516-4"/>
    <hyperlink ref="I92" r:id="rId91" display="https://link.springer.com/book/10.1007/978-1-4899-7504-1"/>
    <hyperlink ref="I93" r:id="rId92" display="https://link.springer.com/book/10.1007/978-3-7091-1771-2"/>
    <hyperlink ref="I94" r:id="rId93" display="https://link.springer.com/book/10.1007/978-1-4939-0566-9"/>
    <hyperlink ref="I95" r:id="rId94" display="https://link.springer.com/book/10.1007/978-1-4614-4157-1"/>
    <hyperlink ref="I96" r:id="rId95" display="https://link.springer.com/book/10.1007/978-3-642-40117-6"/>
    <hyperlink ref="I97" r:id="rId96" display="https://link.springer.com/book/10.1007/978-3-642-32592-2"/>
    <hyperlink ref="I98" r:id="rId97" display="https://link.springer.com/book/10.1007/978-88-470-1702-3"/>
    <hyperlink ref="I99" r:id="rId98" display="https://link.springer.com/book/10.1007/978-88-470-2035-1"/>
    <hyperlink ref="I100" r:id="rId99" display="https://link.springer.com/book/10.1007/978-3-642-00897-9"/>
    <hyperlink ref="I101" r:id="rId100" display="https://link.springer.com/book/10.1007/978-3-642-03031-4"/>
    <hyperlink ref="I102" r:id="rId101" display="https://link.springer.com/book/10.1007/978-88-470-0854-0"/>
    <hyperlink ref="I103" r:id="rId102" display="https://link.springer.com/book/10.1007/978-3-540-74427-6"/>
    <hyperlink ref="I104" r:id="rId103" display="https://link.springer.com/book/10.1007/978-1-59745-100-0"/>
    <hyperlink ref="I105" r:id="rId104" display="https://link.springer.com/book/10.1007/978-3-540-37694-1"/>
    <hyperlink ref="I106" r:id="rId105" display="https://link.springer.com/book/10.1007/3-540-29066-4"/>
    <hyperlink ref="I107" r:id="rId106" display="https://link.springer.com/book/10.1007/978-3-642-18816-9"/>
    <hyperlink ref="I108" r:id="rId107" display="https://link.springer.com/book/10.1007/b97311"/>
    <hyperlink ref="I109" r:id="rId108" display="https://link.springer.com/book/10.1007/978-1-59259-092-6"/>
    <hyperlink ref="I110" r:id="rId109" display="https://link.springer.com/book/10.1007/978-1-4757-4052-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0" t="s">
        <v>449</v>
      </c>
    </row>
    <row r="2" customFormat="false" ht="15" hidden="false" customHeight="false" outlineLevel="0" collapsed="false">
      <c r="A2" s="11" t="s">
        <v>450</v>
      </c>
    </row>
    <row r="4" customFormat="false" ht="15" hidden="false" customHeight="false" outlineLevel="0" collapsed="false">
      <c r="A4" s="12" t="s">
        <v>451</v>
      </c>
    </row>
    <row r="5" customFormat="false" ht="15" hidden="false" customHeight="false" outlineLevel="0" collapsed="false">
      <c r="A5" s="13" t="s">
        <v>452</v>
      </c>
      <c r="B5" s="13" t="s">
        <v>453</v>
      </c>
    </row>
    <row r="6" customFormat="false" ht="15" hidden="false" customHeight="false" outlineLevel="0" collapsed="false">
      <c r="A6" s="14" t="s">
        <v>17</v>
      </c>
      <c r="B6" s="14" t="n">
        <f aca="false">COUNTIF(电子书清单!$K$2:$K$110,A6)</f>
        <v>21</v>
      </c>
    </row>
    <row r="7" customFormat="false" ht="15" hidden="false" customHeight="false" outlineLevel="0" collapsed="false">
      <c r="A7" s="14" t="s">
        <v>28</v>
      </c>
      <c r="B7" s="14" t="n">
        <f aca="false">COUNTIF(电子书清单!$K$2:$K$110,A7)</f>
        <v>43</v>
      </c>
    </row>
    <row r="8" customFormat="false" ht="15" hidden="false" customHeight="false" outlineLevel="0" collapsed="false">
      <c r="A8" s="14" t="s">
        <v>33</v>
      </c>
      <c r="B8" s="14" t="n">
        <f aca="false">COUNTIF(电子书清单!$K$2:$K$110,A8)</f>
        <v>45</v>
      </c>
    </row>
    <row r="9" customFormat="false" ht="15" hidden="false" customHeight="false" outlineLevel="0" collapsed="false">
      <c r="A9" s="12" t="s">
        <v>454</v>
      </c>
      <c r="B9" s="10" t="n">
        <f aca="false">SUM(B6:B8)</f>
        <v>109</v>
      </c>
    </row>
    <row r="11" customFormat="false" ht="15" hidden="false" customHeight="false" outlineLevel="0" collapsed="false">
      <c r="A11" s="12" t="s">
        <v>455</v>
      </c>
    </row>
    <row r="12" customFormat="false" ht="15" hidden="false" customHeight="false" outlineLevel="0" collapsed="false">
      <c r="A12" s="13" t="s">
        <v>452</v>
      </c>
      <c r="B12" s="13" t="s">
        <v>453</v>
      </c>
    </row>
    <row r="13" customFormat="false" ht="15" hidden="false" customHeight="false" outlineLevel="0" collapsed="false">
      <c r="A13" s="14" t="s">
        <v>20</v>
      </c>
      <c r="B13" s="14" t="n">
        <f aca="false">COUNTIF(电子书清单!$D$2:$D$110,A13)</f>
        <v>99</v>
      </c>
    </row>
    <row r="14" customFormat="false" ht="15" hidden="false" customHeight="false" outlineLevel="0" collapsed="false">
      <c r="A14" s="14" t="s">
        <v>13</v>
      </c>
      <c r="B14" s="14" t="n">
        <f aca="false">COUNTIF(电子书清单!$D$2:$D$110,A14)</f>
        <v>6</v>
      </c>
    </row>
    <row r="15" customFormat="false" ht="15" hidden="false" customHeight="false" outlineLevel="0" collapsed="false">
      <c r="A15" s="14" t="s">
        <v>48</v>
      </c>
      <c r="B15" s="14" t="n">
        <f aca="false">COUNTIF(电子书清单!$D$2:$D$110,A15)</f>
        <v>2</v>
      </c>
    </row>
    <row r="16" customFormat="false" ht="15" hidden="false" customHeight="false" outlineLevel="0" collapsed="false">
      <c r="A16" s="14" t="s">
        <v>94</v>
      </c>
      <c r="B16" s="14" t="n">
        <f aca="false">COUNTIF(电子书清单!$D$2:$D$110,A16)</f>
        <v>2</v>
      </c>
    </row>
    <row r="17" customFormat="false" ht="15" hidden="false" customHeight="false" outlineLevel="0" collapsed="false">
      <c r="A17" s="12" t="s">
        <v>454</v>
      </c>
      <c r="B17" s="10" t="n">
        <f aca="false">SUM(B13:B16)</f>
        <v>109</v>
      </c>
    </row>
    <row r="19" customFormat="false" ht="15" hidden="false" customHeight="false" outlineLevel="0" collapsed="false">
      <c r="A19" s="12" t="s">
        <v>456</v>
      </c>
    </row>
    <row r="20" customFormat="false" ht="15" hidden="false" customHeight="false" outlineLevel="0" collapsed="false">
      <c r="A20" s="13" t="s">
        <v>452</v>
      </c>
      <c r="B20" s="13" t="s">
        <v>453</v>
      </c>
    </row>
    <row r="21" customFormat="false" ht="15" hidden="false" customHeight="false" outlineLevel="0" collapsed="false">
      <c r="A21" s="14" t="s">
        <v>16</v>
      </c>
      <c r="B21" s="14" t="n">
        <f aca="false">COUNTIF(电子书清单!$J$2:$J$110,A21)</f>
        <v>11</v>
      </c>
    </row>
    <row r="22" customFormat="false" ht="15" hidden="false" customHeight="false" outlineLevel="0" collapsed="false">
      <c r="A22" s="14" t="s">
        <v>457</v>
      </c>
      <c r="B22" s="14" t="n">
        <f aca="false">COUNTIF(电子书清单!$J$2:$J$110,A22)</f>
        <v>7</v>
      </c>
    </row>
    <row r="23" customFormat="false" ht="15" hidden="false" customHeight="false" outlineLevel="0" collapsed="false">
      <c r="A23" s="14" t="s">
        <v>458</v>
      </c>
      <c r="B23" s="14" t="n">
        <f aca="false">COUNTIF(电子书清单!$J$2:$J$110,A23)</f>
        <v>13</v>
      </c>
    </row>
    <row r="24" customFormat="false" ht="15" hidden="false" customHeight="false" outlineLevel="0" collapsed="false">
      <c r="A24" s="14" t="s">
        <v>459</v>
      </c>
      <c r="B24" s="14" t="n">
        <f aca="false">COUNTIF(电子书清单!$J$2:$J$110,A24)</f>
        <v>2</v>
      </c>
    </row>
    <row r="25" customFormat="false" ht="15" hidden="false" customHeight="false" outlineLevel="0" collapsed="false">
      <c r="A25" s="14" t="s">
        <v>460</v>
      </c>
      <c r="B25" s="14" t="n">
        <f aca="false">COUNTIF(电子书清单!$J$2:$J$110,A25)</f>
        <v>2</v>
      </c>
    </row>
    <row r="26" customFormat="false" ht="15" hidden="false" customHeight="false" outlineLevel="0" collapsed="false">
      <c r="A26" s="14" t="s">
        <v>46</v>
      </c>
      <c r="B26" s="14" t="n">
        <f aca="false">COUNTIF(电子书清单!$J$2:$J$110,A26)</f>
        <v>9</v>
      </c>
    </row>
    <row r="27" customFormat="false" ht="15" hidden="false" customHeight="false" outlineLevel="0" collapsed="false">
      <c r="A27" s="14" t="s">
        <v>461</v>
      </c>
      <c r="B27" s="14" t="n">
        <f aca="false">COUNTIF(电子书清单!$J$2:$J$110,A27)</f>
        <v>3</v>
      </c>
    </row>
    <row r="28" customFormat="false" ht="15" hidden="false" customHeight="false" outlineLevel="0" collapsed="false">
      <c r="A28" s="14" t="s">
        <v>69</v>
      </c>
      <c r="B28" s="14" t="n">
        <f aca="false">COUNTIF(电子书清单!$J$2:$J$110,A28)</f>
        <v>8</v>
      </c>
    </row>
    <row r="29" customFormat="false" ht="15" hidden="false" customHeight="false" outlineLevel="0" collapsed="false">
      <c r="A29" s="14" t="s">
        <v>462</v>
      </c>
      <c r="B29" s="14" t="n">
        <f aca="false">COUNTIF(电子书清单!$J$2:$J$110,A29)</f>
        <v>9</v>
      </c>
    </row>
    <row r="30" customFormat="false" ht="15" hidden="false" customHeight="false" outlineLevel="0" collapsed="false">
      <c r="A30" s="14" t="s">
        <v>463</v>
      </c>
      <c r="B30" s="14" t="n">
        <f aca="false">COUNTIF(电子书清单!$J$2:$J$110,A30)</f>
        <v>11</v>
      </c>
    </row>
    <row r="31" customFormat="false" ht="15" hidden="false" customHeight="false" outlineLevel="0" collapsed="false">
      <c r="A31" s="14" t="s">
        <v>464</v>
      </c>
      <c r="B31" s="14" t="n">
        <f aca="false">COUNTIF(电子书清单!$J$2:$J$110,A31)</f>
        <v>6</v>
      </c>
    </row>
    <row r="32" customFormat="false" ht="15" hidden="false" customHeight="false" outlineLevel="0" collapsed="false">
      <c r="A32" s="14" t="s">
        <v>114</v>
      </c>
      <c r="B32" s="14" t="n">
        <f aca="false">COUNTIF(电子书清单!$J$2:$J$110,A32)</f>
        <v>3</v>
      </c>
    </row>
    <row r="33" customFormat="false" ht="15" hidden="false" customHeight="false" outlineLevel="0" collapsed="false">
      <c r="A33" s="14" t="s">
        <v>465</v>
      </c>
      <c r="B33" s="14" t="n">
        <f aca="false">COUNTIF(电子书清单!$J$2:$J$110,A33)</f>
        <v>2</v>
      </c>
    </row>
    <row r="34" customFormat="false" ht="15" hidden="false" customHeight="false" outlineLevel="0" collapsed="false">
      <c r="A34" s="14" t="s">
        <v>466</v>
      </c>
      <c r="B34" s="14" t="n">
        <f aca="false">COUNTIF(电子书清单!$J$2:$J$110,A34)</f>
        <v>3</v>
      </c>
    </row>
    <row r="35" customFormat="false" ht="15" hidden="false" customHeight="false" outlineLevel="0" collapsed="false">
      <c r="A35" s="14" t="s">
        <v>467</v>
      </c>
      <c r="B35" s="14" t="n">
        <f aca="false">COUNTIF(电子书清单!$J$2:$J$110,A35)</f>
        <v>5</v>
      </c>
    </row>
    <row r="36" customFormat="false" ht="15" hidden="false" customHeight="false" outlineLevel="0" collapsed="false">
      <c r="A36" s="14" t="s">
        <v>165</v>
      </c>
      <c r="B36" s="14" t="n">
        <f aca="false">COUNTIF(电子书清单!$J$2:$J$110,A36)</f>
        <v>6</v>
      </c>
    </row>
    <row r="37" customFormat="false" ht="15" hidden="false" customHeight="false" outlineLevel="0" collapsed="false">
      <c r="A37" s="14" t="s">
        <v>169</v>
      </c>
      <c r="B37" s="14" t="n">
        <f aca="false">COUNTIF(电子书清单!$J$2:$J$110,A37)</f>
        <v>3</v>
      </c>
    </row>
    <row r="38" customFormat="false" ht="15" hidden="false" customHeight="false" outlineLevel="0" collapsed="false">
      <c r="A38" s="14" t="s">
        <v>468</v>
      </c>
      <c r="B38" s="14" t="n">
        <f aca="false">COUNTIF(电子书清单!$J$2:$J$110,A38)</f>
        <v>6</v>
      </c>
    </row>
    <row r="39" customFormat="false" ht="15" hidden="false" customHeight="false" outlineLevel="0" collapsed="false">
      <c r="A39" s="12" t="s">
        <v>454</v>
      </c>
      <c r="B39" s="10" t="n">
        <f aca="false">SUM(B21:B38)</f>
        <v>109</v>
      </c>
    </row>
    <row r="41" customFormat="false" ht="15" hidden="false" customHeight="false" outlineLevel="0" collapsed="false">
      <c r="A41" s="12" t="s">
        <v>469</v>
      </c>
    </row>
    <row r="42" customFormat="false" ht="15" hidden="false" customHeight="false" outlineLevel="0" collapsed="false">
      <c r="A42" s="13" t="s">
        <v>470</v>
      </c>
      <c r="B42" s="13" t="s">
        <v>453</v>
      </c>
    </row>
    <row r="43" customFormat="false" ht="15" hidden="false" customHeight="false" outlineLevel="0" collapsed="false">
      <c r="A43" s="15" t="s">
        <v>471</v>
      </c>
      <c r="B43" s="14" t="n">
        <f aca="false">COUNTIFS(电子书清单!$E$2:$E$110,"&gt;=2000",电子书清单!$E$2:$E$110,"&lt;=2009")</f>
        <v>9</v>
      </c>
    </row>
    <row r="44" customFormat="false" ht="15" hidden="false" customHeight="false" outlineLevel="0" collapsed="false">
      <c r="A44" s="15" t="s">
        <v>472</v>
      </c>
      <c r="B44" s="14" t="n">
        <f aca="false">COUNTIFS(电子书清单!$E$2:$E$110,"&gt;=2010",电子书清单!$E$2:$E$110,"&lt;=2019")</f>
        <v>43</v>
      </c>
    </row>
    <row r="45" customFormat="false" ht="15" hidden="false" customHeight="false" outlineLevel="0" collapsed="false">
      <c r="A45" s="15" t="s">
        <v>473</v>
      </c>
      <c r="B45" s="14" t="n">
        <f aca="false">COUNTIFS(电子书清单!$E$2:$E$110,"&gt;=2020",电子书清单!$E$2:$E$110,"&lt;=2027")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2026-10-08T15:54:51Z</dcterms:created>
  <dc:creator>openpyxl</dc:creator>
  <dc:description/>
  <dc:language>en-US</dc:language>
  <cp:lastModifiedBy/>
  <dcterms:modified xsi:type="dcterms:W3CDTF">2026-10-08T15:54:51Z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