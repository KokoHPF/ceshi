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书目汇总" sheetId="1" state="visible" r:id="rId1"/>
    <sheet name="分类统计" sheetId="2" state="visible" r:id="rId2"/>
    <sheet name="检索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  <sz val="12"/>
    </font>
    <font>
      <name val="Arial"/>
      <b val="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5" fillId="0" borderId="1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ringerOA" displayName="SpringerOA" ref="A1:V32" headerRowCount="1">
  <autoFilter ref="A1:V32"/>
  <tableColumns count="22">
    <tableColumn id="1" name="序号"/>
    <tableColumn id="2" name="类别"/>
    <tableColumn id="3" name="相关度"/>
    <tableColumn id="4" name="书名"/>
    <tableColumn id="5" name="副标题"/>
    <tableColumn id="6" name="中文简介"/>
    <tableColumn id="7" name="作者/编者"/>
    <tableColumn id="8" name="丛书"/>
    <tableColumn id="9" name="出版社"/>
    <tableColumn id="10" name="版权年"/>
    <tableColumn id="11" name="在线出版日期"/>
    <tableColumn id="12" name="版次"/>
    <tableColumn id="13" name="页数"/>
    <tableColumn id="14" name="语言"/>
    <tableColumn id="15" name="eBook ISBN"/>
    <tableColumn id="16" name="印刷版 ISBN"/>
    <tableColumn id="17" name="DOI"/>
    <tableColumn id="18" name="书页链接"/>
    <tableColumn id="19" name="PDF 全书下载"/>
    <tableColumn id="20" name="访问量"/>
    <tableColumn id="21" name="Springer 主题"/>
    <tableColumn id="22" name="状态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k.springer.com/book/10.1007/978-3-031-93604-3" TargetMode="External" Id="rId1" /><Relationship Type="http://schemas.openxmlformats.org/officeDocument/2006/relationships/hyperlink" Target="https://link.springer.com/content/pdf/10.1007/978-3-031-93604-3.pdf" TargetMode="External" Id="rId2" /><Relationship Type="http://schemas.openxmlformats.org/officeDocument/2006/relationships/hyperlink" Target="https://link.springer.com/book/10.1007/978-3-031-33484-9" TargetMode="External" Id="rId3" /><Relationship Type="http://schemas.openxmlformats.org/officeDocument/2006/relationships/hyperlink" Target="https://link.springer.com/content/pdf/10.1007/978-3-031-33484-9.pdf" TargetMode="External" Id="rId4" /><Relationship Type="http://schemas.openxmlformats.org/officeDocument/2006/relationships/hyperlink" Target="https://link.springer.com/book/10.1007/978-3-030-48126-1" TargetMode="External" Id="rId5" /><Relationship Type="http://schemas.openxmlformats.org/officeDocument/2006/relationships/hyperlink" Target="https://link.springer.com/content/pdf/10.1007/978-3-030-48126-1.pdf" TargetMode="External" Id="rId6" /><Relationship Type="http://schemas.openxmlformats.org/officeDocument/2006/relationships/hyperlink" Target="https://link.springer.com/book/10.1007/978-3-030-24243-5" TargetMode="External" Id="rId7" /><Relationship Type="http://schemas.openxmlformats.org/officeDocument/2006/relationships/hyperlink" Target="https://link.springer.com/content/pdf/10.1007/978-3-030-24243-5.pdf" TargetMode="External" Id="rId8" /><Relationship Type="http://schemas.openxmlformats.org/officeDocument/2006/relationships/hyperlink" Target="https://link.springer.com/book/10.1007/978-3-319-76681-2" TargetMode="External" Id="rId9" /><Relationship Type="http://schemas.openxmlformats.org/officeDocument/2006/relationships/hyperlink" Target="https://link.springer.com/content/pdf/10.1007/978-3-319-76681-2.pdf" TargetMode="External" Id="rId10" /><Relationship Type="http://schemas.openxmlformats.org/officeDocument/2006/relationships/hyperlink" Target="https://link.springer.com/book/10.1007/978-3-662-55918-5" TargetMode="External" Id="rId11" /><Relationship Type="http://schemas.openxmlformats.org/officeDocument/2006/relationships/hyperlink" Target="https://link.springer.com/content/pdf/10.1007/978-3-662-55918-5.pdf" TargetMode="External" Id="rId12" /><Relationship Type="http://schemas.openxmlformats.org/officeDocument/2006/relationships/hyperlink" Target="https://link.springer.com/book/10.1007/978-3-662-53260-7" TargetMode="External" Id="rId13" /><Relationship Type="http://schemas.openxmlformats.org/officeDocument/2006/relationships/hyperlink" Target="https://link.springer.com/content/pdf/10.1007/978-3-662-53260-7.pdf" TargetMode="External" Id="rId14" /><Relationship Type="http://schemas.openxmlformats.org/officeDocument/2006/relationships/hyperlink" Target="https://link.springer.com/book/10.1007/978-3-030-22331-1" TargetMode="External" Id="rId15" /><Relationship Type="http://schemas.openxmlformats.org/officeDocument/2006/relationships/hyperlink" Target="https://link.springer.com/content/pdf/10.1007/978-3-030-22331-1.pdf" TargetMode="External" Id="rId16" /><Relationship Type="http://schemas.openxmlformats.org/officeDocument/2006/relationships/hyperlink" Target="https://link.springer.com/book/10.1007/978-3-030-44766-3" TargetMode="External" Id="rId17" /><Relationship Type="http://schemas.openxmlformats.org/officeDocument/2006/relationships/hyperlink" Target="https://link.springer.com/content/pdf/10.1007/978-3-030-44766-3.pdf" TargetMode="External" Id="rId18" /><Relationship Type="http://schemas.openxmlformats.org/officeDocument/2006/relationships/hyperlink" Target="https://link.springer.com/book/10.1007/978-3-319-52755-0" TargetMode="External" Id="rId19" /><Relationship Type="http://schemas.openxmlformats.org/officeDocument/2006/relationships/hyperlink" Target="https://link.springer.com/content/pdf/10.1007/978-3-319-52755-0.pdf" TargetMode="External" Id="rId20" /><Relationship Type="http://schemas.openxmlformats.org/officeDocument/2006/relationships/hyperlink" Target="https://link.springer.com/book/10.1007/978-3-319-72790-5" TargetMode="External" Id="rId21" /><Relationship Type="http://schemas.openxmlformats.org/officeDocument/2006/relationships/hyperlink" Target="https://link.springer.com/content/pdf/10.1007/978-3-319-72790-5.pdf" TargetMode="External" Id="rId22" /><Relationship Type="http://schemas.openxmlformats.org/officeDocument/2006/relationships/hyperlink" Target="https://link.springer.com/book/10.1007/978-981-96-1445-5" TargetMode="External" Id="rId23" /><Relationship Type="http://schemas.openxmlformats.org/officeDocument/2006/relationships/hyperlink" Target="https://link.springer.com/content/pdf/10.1007/978-981-96-1445-5.pdf" TargetMode="External" Id="rId24" /><Relationship Type="http://schemas.openxmlformats.org/officeDocument/2006/relationships/hyperlink" Target="https://link.springer.com/book/10.1007/978-3-658-47017-3" TargetMode="External" Id="rId25" /><Relationship Type="http://schemas.openxmlformats.org/officeDocument/2006/relationships/hyperlink" Target="https://link.springer.com/content/pdf/10.1007/978-3-658-47017-3.pdf" TargetMode="External" Id="rId26" /><Relationship Type="http://schemas.openxmlformats.org/officeDocument/2006/relationships/hyperlink" Target="https://link.springer.com/book/10.1007/978-3-032-26192-2" TargetMode="External" Id="rId27" /><Relationship Type="http://schemas.openxmlformats.org/officeDocument/2006/relationships/hyperlink" Target="https://link.springer.com/content/pdf/10.1007/978-3-032-26192-2.pdf" TargetMode="External" Id="rId28" /><Relationship Type="http://schemas.openxmlformats.org/officeDocument/2006/relationships/hyperlink" Target="https://link.springer.com/book/10.1007/978-3-662-72935-9" TargetMode="External" Id="rId29" /><Relationship Type="http://schemas.openxmlformats.org/officeDocument/2006/relationships/hyperlink" Target="https://link.springer.com/content/pdf/10.1007/978-3-662-72935-9.pdf" TargetMode="External" Id="rId30" /><Relationship Type="http://schemas.openxmlformats.org/officeDocument/2006/relationships/hyperlink" Target="https://link.springer.com/book/10.1007/978-3-662-73466-7" TargetMode="External" Id="rId31" /><Relationship Type="http://schemas.openxmlformats.org/officeDocument/2006/relationships/hyperlink" Target="https://link.springer.com/content/pdf/10.1007/978-3-662-73466-7.pdf" TargetMode="External" Id="rId32" /><Relationship Type="http://schemas.openxmlformats.org/officeDocument/2006/relationships/hyperlink" Target="https://link.springer.com/book/10.1007/978-3-031-85423-1" TargetMode="External" Id="rId33" /><Relationship Type="http://schemas.openxmlformats.org/officeDocument/2006/relationships/hyperlink" Target="https://link.springer.com/content/pdf/10.1007/978-3-031-85423-1.pdf" TargetMode="External" Id="rId34" /><Relationship Type="http://schemas.openxmlformats.org/officeDocument/2006/relationships/hyperlink" Target="https://link.springer.com/book/10.1007/978-3-030-58505-1" TargetMode="External" Id="rId35" /><Relationship Type="http://schemas.openxmlformats.org/officeDocument/2006/relationships/hyperlink" Target="https://link.springer.com/content/pdf/10.1007/978-3-030-58505-1.pdf" TargetMode="External" Id="rId36" /><Relationship Type="http://schemas.openxmlformats.org/officeDocument/2006/relationships/hyperlink" Target="https://link.springer.com/book/9789819261444" TargetMode="External" Id="rId37" /><Relationship Type="http://schemas.openxmlformats.org/officeDocument/2006/relationships/hyperlink" Target="https://link.springer.com/book/9783032242815" TargetMode="External" Id="rId38" /><Relationship Type="http://schemas.openxmlformats.org/officeDocument/2006/relationships/hyperlink" Target="https://link.springer.com/book/10.1007/978-3-031-86942-6" TargetMode="External" Id="rId39" /><Relationship Type="http://schemas.openxmlformats.org/officeDocument/2006/relationships/hyperlink" Target="https://link.springer.com/content/pdf/10.1007/978-3-031-86942-6.pdf" TargetMode="External" Id="rId40" /><Relationship Type="http://schemas.openxmlformats.org/officeDocument/2006/relationships/hyperlink" Target="https://link.springer.com/book/10.1007/978-3-031-20010-6" TargetMode="External" Id="rId41" /><Relationship Type="http://schemas.openxmlformats.org/officeDocument/2006/relationships/hyperlink" Target="https://link.springer.com/content/pdf/10.1007/978-3-031-20010-6.pdf" TargetMode="External" Id="rId42" /><Relationship Type="http://schemas.openxmlformats.org/officeDocument/2006/relationships/hyperlink" Target="https://link.springer.com/book/10.1007/978-3-030-92880-3" TargetMode="External" Id="rId43" /><Relationship Type="http://schemas.openxmlformats.org/officeDocument/2006/relationships/hyperlink" Target="https://link.springer.com/content/pdf/10.1007/978-3-030-92880-3.pdf" TargetMode="External" Id="rId44" /><Relationship Type="http://schemas.openxmlformats.org/officeDocument/2006/relationships/hyperlink" Target="https://link.springer.com/book/10.1007/978-3-032-17040-8" TargetMode="External" Id="rId45" /><Relationship Type="http://schemas.openxmlformats.org/officeDocument/2006/relationships/hyperlink" Target="https://link.springer.com/content/pdf/10.1007/978-3-032-17040-8.pdf" TargetMode="External" Id="rId46" /><Relationship Type="http://schemas.openxmlformats.org/officeDocument/2006/relationships/hyperlink" Target="https://link.springer.com/book/10.1007/978-3-030-71281-5" TargetMode="External" Id="rId47" /><Relationship Type="http://schemas.openxmlformats.org/officeDocument/2006/relationships/hyperlink" Target="https://link.springer.com/content/pdf/10.1007/978-3-030-71281-5.pdf" TargetMode="External" Id="rId48" /><Relationship Type="http://schemas.openxmlformats.org/officeDocument/2006/relationships/hyperlink" Target="https://link.springer.com/book/10.1007/978-3-031-50675-8" TargetMode="External" Id="rId49" /><Relationship Type="http://schemas.openxmlformats.org/officeDocument/2006/relationships/hyperlink" Target="https://link.springer.com/content/pdf/10.1007/978-3-031-50675-8.pdf" TargetMode="External" Id="rId50" /><Relationship Type="http://schemas.openxmlformats.org/officeDocument/2006/relationships/hyperlink" Target="https://link.springer.com/book/10.1007/978-3-030-38490-6" TargetMode="External" Id="rId51" /><Relationship Type="http://schemas.openxmlformats.org/officeDocument/2006/relationships/hyperlink" Target="https://link.springer.com/content/pdf/10.1007/978-3-030-38490-6.pdf" TargetMode="External" Id="rId52" /><Relationship Type="http://schemas.openxmlformats.org/officeDocument/2006/relationships/hyperlink" Target="https://link.springer.com/book/10.1007/978-981-92-0967-5" TargetMode="External" Id="rId53" /><Relationship Type="http://schemas.openxmlformats.org/officeDocument/2006/relationships/hyperlink" Target="https://link.springer.com/content/pdf/10.1007/978-981-92-0967-5.pdf" TargetMode="External" Id="rId54" /><Relationship Type="http://schemas.openxmlformats.org/officeDocument/2006/relationships/hyperlink" Target="https://link.springer.com/book/10.1007/978-3-031-25588-5" TargetMode="External" Id="rId55" /><Relationship Type="http://schemas.openxmlformats.org/officeDocument/2006/relationships/hyperlink" Target="https://link.springer.com/content/pdf/10.1007/978-3-031-25588-5.pdf" TargetMode="External" Id="rId56" /><Relationship Type="http://schemas.openxmlformats.org/officeDocument/2006/relationships/hyperlink" Target="https://link.springer.com/book/10.1007/978-3-030-97606-4" TargetMode="External" Id="rId57" /><Relationship Type="http://schemas.openxmlformats.org/officeDocument/2006/relationships/hyperlink" Target="https://link.springer.com/content/pdf/10.1007/978-3-030-97606-4.pdf" TargetMode="External" Id="rId58" /><Relationship Type="http://schemas.openxmlformats.org/officeDocument/2006/relationships/hyperlink" Target="https://link.springer.com/book/10.1007/978-981-15-8323-0" TargetMode="External" Id="rId59" /><Relationship Type="http://schemas.openxmlformats.org/officeDocument/2006/relationships/hyperlink" Target="https://link.springer.com/content/pdf/10.1007/978-981-15-8323-0.pdf" TargetMode="External" Id="rId60" /><Relationship Type="http://schemas.openxmlformats.org/officeDocument/2006/relationships/table" Target="/xl/tables/table1.xm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8" customWidth="1" min="4" max="4"/>
    <col width="32" customWidth="1" min="5" max="5"/>
    <col width="50" customWidth="1" min="6" max="6"/>
    <col width="30" customWidth="1" min="7" max="7"/>
    <col width="24" customWidth="1" min="8" max="8"/>
    <col width="20" customWidth="1" min="9" max="9"/>
    <col width="8" customWidth="1" min="10" max="10"/>
    <col width="14" customWidth="1" min="11" max="11"/>
    <col width="6" customWidth="1" min="12" max="12"/>
    <col width="12" customWidth="1" min="13" max="13"/>
    <col width="7" customWidth="1" min="14" max="14"/>
    <col width="18" customWidth="1" min="15" max="15"/>
    <col width="18" customWidth="1" min="16" max="16"/>
    <col width="26" customWidth="1" min="17" max="17"/>
    <col width="40" customWidth="1" min="18" max="18"/>
    <col width="40" customWidth="1" min="19" max="19"/>
    <col width="9" customWidth="1" min="20" max="20"/>
    <col width="30" customWidth="1" min="21" max="21"/>
    <col width="10" customWidth="1" min="22" max="22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相关度</t>
        </is>
      </c>
      <c r="D1" s="1" t="inlineStr">
        <is>
          <t>书名</t>
        </is>
      </c>
      <c r="E1" s="1" t="inlineStr">
        <is>
          <t>副标题</t>
        </is>
      </c>
      <c r="F1" s="1" t="inlineStr">
        <is>
          <t>中文简介</t>
        </is>
      </c>
      <c r="G1" s="1" t="inlineStr">
        <is>
          <t>作者/编者</t>
        </is>
      </c>
      <c r="H1" s="1" t="inlineStr">
        <is>
          <t>丛书</t>
        </is>
      </c>
      <c r="I1" s="1" t="inlineStr">
        <is>
          <t>出版社</t>
        </is>
      </c>
      <c r="J1" s="1" t="inlineStr">
        <is>
          <t>版权年</t>
        </is>
      </c>
      <c r="K1" s="1" t="inlineStr">
        <is>
          <t>在线出版日期</t>
        </is>
      </c>
      <c r="L1" s="1" t="inlineStr">
        <is>
          <t>版次</t>
        </is>
      </c>
      <c r="M1" s="1" t="inlineStr">
        <is>
          <t>页数</t>
        </is>
      </c>
      <c r="N1" s="1" t="inlineStr">
        <is>
          <t>语言</t>
        </is>
      </c>
      <c r="O1" s="1" t="inlineStr">
        <is>
          <t>eBook ISBN</t>
        </is>
      </c>
      <c r="P1" s="1" t="inlineStr">
        <is>
          <t>印刷版 ISBN</t>
        </is>
      </c>
      <c r="Q1" s="1" t="inlineStr">
        <is>
          <t>DOI</t>
        </is>
      </c>
      <c r="R1" s="1" t="inlineStr">
        <is>
          <t>书页链接</t>
        </is>
      </c>
      <c r="S1" s="1" t="inlineStr">
        <is>
          <t>PDF 全书下载</t>
        </is>
      </c>
      <c r="T1" s="1" t="inlineStr">
        <is>
          <t>访问量</t>
        </is>
      </c>
      <c r="U1" s="1" t="inlineStr">
        <is>
          <t>Springer 主题</t>
        </is>
      </c>
      <c r="V1" s="1" t="inlineStr">
        <is>
          <t>状态</t>
        </is>
      </c>
    </row>
    <row r="2">
      <c r="A2" s="2" t="n">
        <v>1</v>
      </c>
      <c r="B2" s="2" t="inlineStr">
        <is>
          <t>骨科·骨折·关节</t>
        </is>
      </c>
      <c r="C2" s="3" t="inlineStr">
        <is>
          <t>核心</t>
        </is>
      </c>
      <c r="D2" s="2" t="inlineStr">
        <is>
          <t>Shoulder Fractures in Context</t>
        </is>
      </c>
      <c r="E2" s="2" t="inlineStr">
        <is>
          <t>Controversies in Orthopaedic Surgery</t>
        </is>
      </c>
      <c r="F2" s="2" t="inlineStr">
        <is>
          <t>肱骨近端骨折专著：流行病学、形态与分型、历史沿革，并基于临床试验证据讨论手术与保守治疗之争（锁定钢板、反肩置换等）。</t>
        </is>
      </c>
      <c r="G2" s="2" t="inlineStr">
        <is>
          <t>著：Stig Brorson</t>
        </is>
      </c>
      <c r="H2" s="2" t="inlineStr"/>
      <c r="I2" s="2" t="inlineStr">
        <is>
          <t>Springer Cham</t>
        </is>
      </c>
      <c r="J2" s="2" t="n">
        <v>2025</v>
      </c>
      <c r="K2" s="2" t="inlineStr">
        <is>
          <t>15 July 2025</t>
        </is>
      </c>
      <c r="L2" s="2" t="inlineStr">
        <is>
          <t>1</t>
        </is>
      </c>
      <c r="M2" s="2" t="inlineStr">
        <is>
          <t>XXIII, 185</t>
        </is>
      </c>
      <c r="N2" s="2" t="inlineStr">
        <is>
          <t>英文</t>
        </is>
      </c>
      <c r="O2" s="2" t="inlineStr">
        <is>
          <t>978-3-031-93604-3</t>
        </is>
      </c>
      <c r="P2" s="2" t="inlineStr">
        <is>
          <t>978-3-031-93603-6</t>
        </is>
      </c>
      <c r="Q2" s="2" t="inlineStr">
        <is>
          <t>10.1007/978-3-031-93604-3</t>
        </is>
      </c>
      <c r="R2" s="4" t="inlineStr">
        <is>
          <t>https://link.springer.com/book/10.1007/978-3-031-93604-3</t>
        </is>
      </c>
      <c r="S2" s="4" t="inlineStr">
        <is>
          <t>https://link.springer.com/content/pdf/10.1007/978-3-031-93604-3.pdf</t>
        </is>
      </c>
      <c r="T2" s="2" t="inlineStr">
        <is>
          <t>58k</t>
        </is>
      </c>
      <c r="U2" s="2" t="inlineStr">
        <is>
          <t>Surgical Orthopedics; Imaging / Radiology</t>
        </is>
      </c>
      <c r="V2" s="2" t="inlineStr">
        <is>
          <t>已上线</t>
        </is>
      </c>
    </row>
    <row r="3">
      <c r="A3" s="2" t="n">
        <v>2</v>
      </c>
      <c r="B3" s="2" t="inlineStr">
        <is>
          <t>骨科·骨折·关节</t>
        </is>
      </c>
      <c r="C3" s="3" t="inlineStr">
        <is>
          <t>核心</t>
        </is>
      </c>
      <c r="D3" s="2" t="inlineStr">
        <is>
          <t>Fragility Fracture and Orthogeriatric Nursing</t>
        </is>
      </c>
      <c r="E3" s="2" t="inlineStr">
        <is>
          <t>Holistic Care and Management of the Fragility Fracture and Orthogeriatric Patient</t>
        </is>
      </c>
      <c r="F3" s="2" t="inlineStr">
        <is>
          <t>脆性骨折与骨科老年护理（第2版）：老年脆性骨折患者评估、护理、康复与二级预防，覆盖急性期至居家各场景。</t>
        </is>
      </c>
      <c r="G3" s="2" t="inlineStr">
        <is>
          <t>编：Karen Hertz, Julie Santy-Tomlinson</t>
        </is>
      </c>
      <c r="H3" s="2" t="inlineStr">
        <is>
          <t>Perspectives in Nursing Management and Care for Older Adults</t>
        </is>
      </c>
      <c r="I3" s="2" t="inlineStr">
        <is>
          <t>Springer Cham</t>
        </is>
      </c>
      <c r="J3" s="2" t="n">
        <v>2024</v>
      </c>
      <c r="K3" s="2" t="inlineStr">
        <is>
          <t>08 November 2023</t>
        </is>
      </c>
      <c r="L3" s="2" t="inlineStr">
        <is>
          <t>2</t>
        </is>
      </c>
      <c r="M3" s="2" t="inlineStr">
        <is>
          <t>XX, 307</t>
        </is>
      </c>
      <c r="N3" s="2" t="inlineStr">
        <is>
          <t>英文</t>
        </is>
      </c>
      <c r="O3" s="2" t="inlineStr">
        <is>
          <t>978-3-031-33484-9</t>
        </is>
      </c>
      <c r="P3" s="2" t="inlineStr">
        <is>
          <t>978-3-031-33483-2</t>
        </is>
      </c>
      <c r="Q3" s="2" t="inlineStr">
        <is>
          <t>10.1007/978-3-031-33484-9</t>
        </is>
      </c>
      <c r="R3" s="4" t="inlineStr">
        <is>
          <t>https://link.springer.com/book/10.1007/978-3-031-33484-9</t>
        </is>
      </c>
      <c r="S3" s="4" t="inlineStr">
        <is>
          <t>https://link.springer.com/content/pdf/10.1007/978-3-031-33484-9.pdf</t>
        </is>
      </c>
      <c r="T3" s="2" t="inlineStr">
        <is>
          <t>192k</t>
        </is>
      </c>
      <c r="U3" s="2" t="inlineStr">
        <is>
          <t>Nursing Management; Geriatrics/Gerontology; Orthopedics</t>
        </is>
      </c>
      <c r="V3" s="2" t="inlineStr">
        <is>
          <t>已上线</t>
        </is>
      </c>
    </row>
    <row r="4">
      <c r="A4" s="2" t="n">
        <v>3</v>
      </c>
      <c r="B4" s="2" t="inlineStr">
        <is>
          <t>骨科·骨折·关节</t>
        </is>
      </c>
      <c r="C4" s="3" t="inlineStr">
        <is>
          <t>核心</t>
        </is>
      </c>
      <c r="D4" s="2" t="inlineStr">
        <is>
          <t>Orthogeriatrics</t>
        </is>
      </c>
      <c r="E4" s="2" t="inlineStr">
        <is>
          <t>The Management of Older Patients with Fragility Fractures</t>
        </is>
      </c>
      <c r="F4" s="2" t="inlineStr">
        <is>
          <t>骨科老年医学（第2版）：脆性骨折（尤其髋部骨折）的多学科管理，含围手术期、麻醉、康复与二级预防，由 Fragility Fracture Network 支持。</t>
        </is>
      </c>
      <c r="G4" s="2" t="inlineStr">
        <is>
          <t>编：Paolo Falaschi, David Marsh</t>
        </is>
      </c>
      <c r="H4" s="2" t="inlineStr">
        <is>
          <t>Practical Issues in Geriatrics</t>
        </is>
      </c>
      <c r="I4" s="2" t="inlineStr">
        <is>
          <t>Springer Cham</t>
        </is>
      </c>
      <c r="J4" s="2" t="n">
        <v>2021</v>
      </c>
      <c r="K4" s="2" t="inlineStr">
        <is>
          <t>20 August 2020</t>
        </is>
      </c>
      <c r="L4" s="2" t="inlineStr">
        <is>
          <t>2</t>
        </is>
      </c>
      <c r="M4" s="2" t="inlineStr">
        <is>
          <t>VIII, 357</t>
        </is>
      </c>
      <c r="N4" s="2" t="inlineStr">
        <is>
          <t>英文</t>
        </is>
      </c>
      <c r="O4" s="2" t="inlineStr">
        <is>
          <t>978-3-030-48126-1</t>
        </is>
      </c>
      <c r="P4" s="2" t="inlineStr">
        <is>
          <t>978-3-030-48125-4</t>
        </is>
      </c>
      <c r="Q4" s="2" t="inlineStr">
        <is>
          <t>10.1007/978-3-030-48126-1</t>
        </is>
      </c>
      <c r="R4" s="4" t="inlineStr">
        <is>
          <t>https://link.springer.com/book/10.1007/978-3-030-48126-1</t>
        </is>
      </c>
      <c r="S4" s="4" t="inlineStr">
        <is>
          <t>https://link.springer.com/content/pdf/10.1007/978-3-030-48126-1.pdf</t>
        </is>
      </c>
      <c r="T4" s="2" t="inlineStr">
        <is>
          <t>656k</t>
        </is>
      </c>
      <c r="U4" s="2" t="inlineStr">
        <is>
          <t>Geriatrics/Gerontology; Orthopedics; Anesthesiology; Emergency Medicine; Nursing</t>
        </is>
      </c>
      <c r="V4" s="2" t="inlineStr">
        <is>
          <t>已上线</t>
        </is>
      </c>
    </row>
    <row r="5">
      <c r="A5" s="2" t="n">
        <v>4</v>
      </c>
      <c r="B5" s="2" t="inlineStr">
        <is>
          <t>骨科·骨折·关节</t>
        </is>
      </c>
      <c r="C5" s="3" t="inlineStr">
        <is>
          <t>核心</t>
        </is>
      </c>
      <c r="D5" s="2" t="inlineStr">
        <is>
          <t>Personalized Hip and Knee Joint Replacement</t>
        </is>
      </c>
      <c r="E5" s="2" t="inlineStr"/>
      <c r="F5" s="2" t="inlineStr">
        <is>
          <t>个性化髋、膝关节置换：运动学对线、个体化假体定位的手术技术、植入物与导航/机器人技术。</t>
        </is>
      </c>
      <c r="G5" s="2" t="inlineStr">
        <is>
          <t>编：Charles Rivière, Pascal-André Vendittoli</t>
        </is>
      </c>
      <c r="H5" s="2" t="inlineStr"/>
      <c r="I5" s="2" t="inlineStr">
        <is>
          <t>Springer Cham</t>
        </is>
      </c>
      <c r="J5" s="2" t="n">
        <v>2020</v>
      </c>
      <c r="K5" s="2" t="inlineStr">
        <is>
          <t>30 June 2020</t>
        </is>
      </c>
      <c r="L5" s="2" t="inlineStr">
        <is>
          <t>1</t>
        </is>
      </c>
      <c r="M5" s="2" t="inlineStr">
        <is>
          <t>XVI, 350</t>
        </is>
      </c>
      <c r="N5" s="2" t="inlineStr">
        <is>
          <t>英文</t>
        </is>
      </c>
      <c r="O5" s="2" t="inlineStr">
        <is>
          <t>978-3-030-24243-5</t>
        </is>
      </c>
      <c r="P5" s="2" t="inlineStr">
        <is>
          <t>978-3-030-24245-9</t>
        </is>
      </c>
      <c r="Q5" s="2" t="inlineStr">
        <is>
          <t>10.1007/978-3-030-24243-5</t>
        </is>
      </c>
      <c r="R5" s="4" t="inlineStr">
        <is>
          <t>https://link.springer.com/book/10.1007/978-3-030-24243-5</t>
        </is>
      </c>
      <c r="S5" s="4" t="inlineStr">
        <is>
          <t>https://link.springer.com/content/pdf/10.1007/978-3-030-24243-5.pdf</t>
        </is>
      </c>
      <c r="T5" s="2" t="inlineStr">
        <is>
          <t>525k</t>
        </is>
      </c>
      <c r="U5" s="2" t="inlineStr">
        <is>
          <t>Surgical Orthopedics</t>
        </is>
      </c>
      <c r="V5" s="2" t="inlineStr">
        <is>
          <t>已上线</t>
        </is>
      </c>
    </row>
    <row r="6">
      <c r="A6" s="2" t="n">
        <v>5</v>
      </c>
      <c r="B6" s="2" t="inlineStr">
        <is>
          <t>骨科·骨折·关节</t>
        </is>
      </c>
      <c r="C6" s="3" t="inlineStr">
        <is>
          <t>核心</t>
        </is>
      </c>
      <c r="D6" s="2" t="inlineStr">
        <is>
          <t>Fragility Fracture Nursing</t>
        </is>
      </c>
      <c r="E6" s="2" t="inlineStr">
        <is>
          <t>Holistic Care and Management of the Orthogeriatric Patient</t>
        </is>
      </c>
      <c r="F6" s="2" t="inlineStr">
        <is>
          <t>上书第1版：脆性骨折老年患者的整体护理与管理。</t>
        </is>
      </c>
      <c r="G6" s="2" t="inlineStr">
        <is>
          <t>编：Karen Hertz, Julie Santy-Tomlinson</t>
        </is>
      </c>
      <c r="H6" s="2" t="inlineStr">
        <is>
          <t>Perspectives in Nursing Management and Care for Older Adults</t>
        </is>
      </c>
      <c r="I6" s="2" t="inlineStr">
        <is>
          <t>Springer Cham</t>
        </is>
      </c>
      <c r="J6" s="2" t="n">
        <v>2018</v>
      </c>
      <c r="K6" s="2" t="inlineStr">
        <is>
          <t>15 June 2018</t>
        </is>
      </c>
      <c r="L6" s="2" t="inlineStr">
        <is>
          <t>1</t>
        </is>
      </c>
      <c r="M6" s="2" t="inlineStr">
        <is>
          <t>XX, 158</t>
        </is>
      </c>
      <c r="N6" s="2" t="inlineStr">
        <is>
          <t>英文</t>
        </is>
      </c>
      <c r="O6" s="2" t="inlineStr">
        <is>
          <t>978-3-319-76681-2</t>
        </is>
      </c>
      <c r="P6" s="2" t="inlineStr"/>
      <c r="Q6" s="2" t="inlineStr">
        <is>
          <t>10.1007/978-3-319-76681-2</t>
        </is>
      </c>
      <c r="R6" s="4" t="inlineStr">
        <is>
          <t>https://link.springer.com/book/10.1007/978-3-319-76681-2</t>
        </is>
      </c>
      <c r="S6" s="4" t="inlineStr">
        <is>
          <t>https://link.springer.com/content/pdf/10.1007/978-3-319-76681-2.pdf</t>
        </is>
      </c>
      <c r="T6" s="2" t="inlineStr">
        <is>
          <t>318k</t>
        </is>
      </c>
      <c r="U6" s="2" t="inlineStr">
        <is>
          <t>Nursing Management; Geriatrics/Gerontology; Orthopedics</t>
        </is>
      </c>
      <c r="V6" s="2" t="inlineStr">
        <is>
          <t>已上线</t>
        </is>
      </c>
    </row>
    <row r="7">
      <c r="A7" s="2" t="n">
        <v>6</v>
      </c>
      <c r="B7" s="2" t="inlineStr">
        <is>
          <t>骨科·骨折·关节</t>
        </is>
      </c>
      <c r="C7" s="3" t="inlineStr">
        <is>
          <t>核心</t>
        </is>
      </c>
      <c r="D7" s="2" t="inlineStr">
        <is>
          <t>White Paper on Joint Replacement</t>
        </is>
      </c>
      <c r="E7" s="2" t="inlineStr">
        <is>
          <t>Status of Hip and Knee Arthroplasty Care in Germany</t>
        </is>
      </c>
      <c r="F7" s="2" t="inlineStr">
        <is>
          <t>德国髋膝关节置换白皮书（英文版）：适应证、手术量、质量与卫生经济学现状。</t>
        </is>
      </c>
      <c r="G7" s="2" t="inlineStr">
        <is>
          <t>编：Hans-Holger Bleß, Miriam Kip</t>
        </is>
      </c>
      <c r="H7" s="2" t="inlineStr"/>
      <c r="I7" s="2" t="inlineStr">
        <is>
          <t>Springer Berlin, Heidelberg</t>
        </is>
      </c>
      <c r="J7" s="2" t="n">
        <v>2018</v>
      </c>
      <c r="K7" s="2" t="inlineStr">
        <is>
          <t>03 November 2017</t>
        </is>
      </c>
      <c r="L7" s="2" t="inlineStr">
        <is>
          <t>1</t>
        </is>
      </c>
      <c r="M7" s="2" t="inlineStr">
        <is>
          <t>XII, 135</t>
        </is>
      </c>
      <c r="N7" s="2" t="inlineStr">
        <is>
          <t>英文</t>
        </is>
      </c>
      <c r="O7" s="2" t="inlineStr">
        <is>
          <t>978-3-662-55918-5</t>
        </is>
      </c>
      <c r="P7" s="2" t="inlineStr">
        <is>
          <t>978-3-662-55917-8</t>
        </is>
      </c>
      <c r="Q7" s="2" t="inlineStr">
        <is>
          <t>10.1007/978-3-662-55918-5</t>
        </is>
      </c>
      <c r="R7" s="4" t="inlineStr">
        <is>
          <t>https://link.springer.com/book/10.1007/978-3-662-55918-5</t>
        </is>
      </c>
      <c r="S7" s="4" t="inlineStr">
        <is>
          <t>https://link.springer.com/content/pdf/10.1007/978-3-662-55918-5.pdf</t>
        </is>
      </c>
      <c r="T7" s="2" t="inlineStr">
        <is>
          <t>37k</t>
        </is>
      </c>
      <c r="U7" s="2" t="inlineStr">
        <is>
          <t>Orthopedics; Surgery</t>
        </is>
      </c>
      <c r="V7" s="2" t="inlineStr">
        <is>
          <t>已上线</t>
        </is>
      </c>
    </row>
    <row r="8">
      <c r="A8" s="2" t="n">
        <v>7</v>
      </c>
      <c r="B8" s="2" t="inlineStr">
        <is>
          <t>骨科·骨折·关节</t>
        </is>
      </c>
      <c r="C8" s="3" t="inlineStr">
        <is>
          <t>核心</t>
        </is>
      </c>
      <c r="D8" s="2" t="inlineStr">
        <is>
          <t>Weißbuch Gelenkersatz</t>
        </is>
      </c>
      <c r="E8" s="2" t="inlineStr">
        <is>
          <t>Versorgungssituation endoprothetischer Hüft- und Knieoperationen in Deutschland</t>
        </is>
      </c>
      <c r="F8" s="2" t="inlineStr">
        <is>
          <t>上书德文原版（Weißbuch Gelenkersatz）。</t>
        </is>
      </c>
      <c r="G8" s="2" t="inlineStr">
        <is>
          <t>编：H.-H. Bleß, M. Kip</t>
        </is>
      </c>
      <c r="H8" s="2" t="inlineStr"/>
      <c r="I8" s="2" t="inlineStr">
        <is>
          <t>Springer Berlin, Heidelberg</t>
        </is>
      </c>
      <c r="J8" s="2" t="n">
        <v>2017</v>
      </c>
      <c r="K8" s="2" t="inlineStr">
        <is>
          <t>30 August 2016</t>
        </is>
      </c>
      <c r="L8" s="2" t="inlineStr">
        <is>
          <t>1</t>
        </is>
      </c>
      <c r="M8" s="2" t="inlineStr">
        <is>
          <t>XII, 142</t>
        </is>
      </c>
      <c r="N8" s="2" t="inlineStr">
        <is>
          <t>德文</t>
        </is>
      </c>
      <c r="O8" s="2" t="inlineStr">
        <is>
          <t>978-3-662-53260-7</t>
        </is>
      </c>
      <c r="P8" s="2" t="inlineStr">
        <is>
          <t>978-3-662-52904-1</t>
        </is>
      </c>
      <c r="Q8" s="2" t="inlineStr">
        <is>
          <t>10.1007/978-3-662-53260-7</t>
        </is>
      </c>
      <c r="R8" s="4" t="inlineStr">
        <is>
          <t>https://link.springer.com/book/10.1007/978-3-662-53260-7</t>
        </is>
      </c>
      <c r="S8" s="4" t="inlineStr">
        <is>
          <t>https://link.springer.com/content/pdf/10.1007/978-3-662-53260-7.pdf</t>
        </is>
      </c>
      <c r="T8" s="2" t="inlineStr">
        <is>
          <t>55k</t>
        </is>
      </c>
      <c r="U8" s="2" t="inlineStr">
        <is>
          <t>Orthopedics; Surgery</t>
        </is>
      </c>
      <c r="V8" s="2" t="inlineStr">
        <is>
          <t>已上线</t>
        </is>
      </c>
    </row>
    <row r="9">
      <c r="A9" s="2" t="n">
        <v>8</v>
      </c>
      <c r="B9" s="2" t="inlineStr">
        <is>
          <t>创伤医学</t>
        </is>
      </c>
      <c r="C9" s="3" t="inlineStr">
        <is>
          <t>核心</t>
        </is>
      </c>
      <c r="D9" s="2" t="inlineStr">
        <is>
          <t>Compartment Syndrome</t>
        </is>
      </c>
      <c r="E9" s="2" t="inlineStr">
        <is>
          <t>A Guide to Diagnosis and Management</t>
        </is>
      </c>
      <c r="F9" s="2" t="inlineStr">
        <is>
          <t>骨筋膜室综合征：病理生理、诊断标准、压力监测、上下肢筋膜切开术，含儿童与多发伤患者及法律问题。</t>
        </is>
      </c>
      <c r="G9" s="2" t="inlineStr">
        <is>
          <t>编：Cyril Mauffrey, David J. Hak, Murphy P. Martin III</t>
        </is>
      </c>
      <c r="H9" s="2" t="inlineStr"/>
      <c r="I9" s="2" t="inlineStr">
        <is>
          <t>Springer Cham</t>
        </is>
      </c>
      <c r="J9" s="2" t="n">
        <v>2019</v>
      </c>
      <c r="K9" s="2" t="inlineStr">
        <is>
          <t>02 September 2019</t>
        </is>
      </c>
      <c r="L9" s="2" t="inlineStr">
        <is>
          <t>1</t>
        </is>
      </c>
      <c r="M9" s="2" t="inlineStr">
        <is>
          <t>XIII, 181</t>
        </is>
      </c>
      <c r="N9" s="2" t="inlineStr">
        <is>
          <t>英文</t>
        </is>
      </c>
      <c r="O9" s="2" t="inlineStr">
        <is>
          <t>978-3-030-22331-1</t>
        </is>
      </c>
      <c r="P9" s="2" t="inlineStr">
        <is>
          <t>978-3-030-22330-4</t>
        </is>
      </c>
      <c r="Q9" s="2" t="inlineStr">
        <is>
          <t>10.1007/978-3-030-22331-1</t>
        </is>
      </c>
      <c r="R9" s="4" t="inlineStr">
        <is>
          <t>https://link.springer.com/book/10.1007/978-3-030-22331-1</t>
        </is>
      </c>
      <c r="S9" s="4" t="inlineStr">
        <is>
          <t>https://link.springer.com/content/pdf/10.1007/978-3-030-22331-1.pdf</t>
        </is>
      </c>
      <c r="T9" s="2" t="inlineStr">
        <is>
          <t>301k</t>
        </is>
      </c>
      <c r="U9" s="2" t="inlineStr">
        <is>
          <t>Orthopedics; Surgery</t>
        </is>
      </c>
      <c r="V9" s="2" t="inlineStr">
        <is>
          <t>已上线</t>
        </is>
      </c>
    </row>
    <row r="10">
      <c r="A10" s="2" t="n">
        <v>9</v>
      </c>
      <c r="B10" s="2" t="inlineStr">
        <is>
          <t>创伤医学</t>
        </is>
      </c>
      <c r="C10" s="2" t="inlineStr">
        <is>
          <t>延伸</t>
        </is>
      </c>
      <c r="D10" s="2" t="inlineStr">
        <is>
          <t>Textbook on Scar Management</t>
        </is>
      </c>
      <c r="E10" s="2" t="inlineStr">
        <is>
          <t>State of the Art Management and Emerging Technologies</t>
        </is>
      </c>
      <c r="F10" s="2" t="inlineStr">
        <is>
          <t>瘢痕管理教科书：创伤/烧伤/术后瘢痕的评估、预防与治疗新技术（下载量 240 万+）。</t>
        </is>
      </c>
      <c r="G10" s="2" t="inlineStr">
        <is>
          <t>编：Luc Téot, Thomas A. Mustoe, Esther Middelkoop, Gerd G. Gauglitz</t>
        </is>
      </c>
      <c r="H10" s="2" t="inlineStr"/>
      <c r="I10" s="2" t="inlineStr">
        <is>
          <t>Springer Cham</t>
        </is>
      </c>
      <c r="J10" s="2" t="n">
        <v>2020</v>
      </c>
      <c r="K10" s="2" t="inlineStr">
        <is>
          <t>07 December 2020</t>
        </is>
      </c>
      <c r="L10" s="2" t="inlineStr">
        <is>
          <t>1</t>
        </is>
      </c>
      <c r="M10" s="2" t="inlineStr">
        <is>
          <t>XXV, 553</t>
        </is>
      </c>
      <c r="N10" s="2" t="inlineStr">
        <is>
          <t>英文</t>
        </is>
      </c>
      <c r="O10" s="2" t="inlineStr">
        <is>
          <t>978-3-030-44766-3</t>
        </is>
      </c>
      <c r="P10" s="2" t="inlineStr">
        <is>
          <t>978-3-030-44765-6</t>
        </is>
      </c>
      <c r="Q10" s="2" t="inlineStr">
        <is>
          <t>10.1007/978-3-030-44766-3</t>
        </is>
      </c>
      <c r="R10" s="4" t="inlineStr">
        <is>
          <t>https://link.springer.com/book/10.1007/978-3-030-44766-3</t>
        </is>
      </c>
      <c r="S10" s="4" t="inlineStr">
        <is>
          <t>https://link.springer.com/content/pdf/10.1007/978-3-030-44766-3.pdf</t>
        </is>
      </c>
      <c r="T10" s="2" t="inlineStr">
        <is>
          <t>2.40m</t>
        </is>
      </c>
      <c r="U10" s="2" t="inlineStr">
        <is>
          <t>Plastic Surgery; Dermatology; Surgical Oncology</t>
        </is>
      </c>
      <c r="V10" s="2" t="inlineStr">
        <is>
          <t>已上线</t>
        </is>
      </c>
    </row>
    <row r="11">
      <c r="A11" s="2" t="n">
        <v>10</v>
      </c>
      <c r="B11" s="2" t="inlineStr">
        <is>
          <t>运动医学·运动损伤</t>
        </is>
      </c>
      <c r="C11" s="3" t="inlineStr">
        <is>
          <t>核心</t>
        </is>
      </c>
      <c r="D11" s="2" t="inlineStr">
        <is>
          <t>Snow Sports Trauma and Safety</t>
        </is>
      </c>
      <c r="E11" s="2" t="inlineStr">
        <is>
          <t>Conference Proceedings of the International Society for Skiing Safety: 21st Volume</t>
        </is>
      </c>
      <c r="F11" s="2" t="inlineStr">
        <is>
          <t>雪上运动创伤与安全（国际滑雪安全学会第21卷会议论文集）：滑雪损伤流行病学、治疗、生物力学与装备/场地预防。</t>
        </is>
      </c>
      <c r="G11" s="2" t="inlineStr">
        <is>
          <t>编：Irving S. Scher, Richard M. Greenwald, Nicola Petrone</t>
        </is>
      </c>
      <c r="H11" s="2" t="inlineStr"/>
      <c r="I11" s="2" t="inlineStr">
        <is>
          <t>Springer Cham</t>
        </is>
      </c>
      <c r="J11" s="2" t="n">
        <v>2017</v>
      </c>
      <c r="K11" s="2" t="inlineStr">
        <is>
          <t>13 April 2017</t>
        </is>
      </c>
      <c r="L11" s="2" t="inlineStr">
        <is>
          <t>1</t>
        </is>
      </c>
      <c r="M11" s="2" t="inlineStr">
        <is>
          <t>X, 206</t>
        </is>
      </c>
      <c r="N11" s="2" t="inlineStr">
        <is>
          <t>英文</t>
        </is>
      </c>
      <c r="O11" s="2" t="inlineStr">
        <is>
          <t>978-3-319-52755-0</t>
        </is>
      </c>
      <c r="P11" s="2" t="inlineStr">
        <is>
          <t>978-3-319-52754-3</t>
        </is>
      </c>
      <c r="Q11" s="2" t="inlineStr">
        <is>
          <t>10.1007/978-3-319-52755-0</t>
        </is>
      </c>
      <c r="R11" s="4" t="inlineStr">
        <is>
          <t>https://link.springer.com/book/10.1007/978-3-319-52755-0</t>
        </is>
      </c>
      <c r="S11" s="4" t="inlineStr">
        <is>
          <t>https://link.springer.com/content/pdf/10.1007/978-3-319-52755-0.pdf</t>
        </is>
      </c>
      <c r="T11" s="2" t="inlineStr">
        <is>
          <t>124k</t>
        </is>
      </c>
      <c r="U11" s="2" t="inlineStr">
        <is>
          <t>Sports Medicine; Biomedical Engineering and Bioengineering</t>
        </is>
      </c>
      <c r="V11" s="2" t="inlineStr">
        <is>
          <t>已上线（会议论文集）</t>
        </is>
      </c>
    </row>
    <row r="12">
      <c r="A12" s="2" t="n">
        <v>11</v>
      </c>
      <c r="B12" s="2" t="inlineStr">
        <is>
          <t>运动医学·运动科学</t>
        </is>
      </c>
      <c r="C12" s="3" t="inlineStr">
        <is>
          <t>核心</t>
        </is>
      </c>
      <c r="D12" s="2" t="inlineStr">
        <is>
          <t>Hormones, Metabolism and the Benefits of Exercise</t>
        </is>
      </c>
      <c r="E12" s="2" t="inlineStr"/>
      <c r="F12" s="2" t="inlineStr">
        <is>
          <t>激素、代谢与运动获益：运动—肌肉—激素—代谢的细胞与分子通路，包括肌因子（myokines）。</t>
        </is>
      </c>
      <c r="G12" s="2" t="inlineStr">
        <is>
          <t>编：Bruce Spiegelman</t>
        </is>
      </c>
      <c r="H12" s="2" t="inlineStr">
        <is>
          <t>Research and Perspectives in Endocrine Interactions</t>
        </is>
      </c>
      <c r="I12" s="2" t="inlineStr">
        <is>
          <t>Springer Cham</t>
        </is>
      </c>
      <c r="J12" s="2" t="n">
        <v>2017</v>
      </c>
      <c r="K12" s="2" t="inlineStr">
        <is>
          <t>07 March 2018</t>
        </is>
      </c>
      <c r="L12" s="2" t="inlineStr">
        <is>
          <t>1</t>
        </is>
      </c>
      <c r="M12" s="2" t="inlineStr">
        <is>
          <t>X, 102</t>
        </is>
      </c>
      <c r="N12" s="2" t="inlineStr">
        <is>
          <t>英文</t>
        </is>
      </c>
      <c r="O12" s="2" t="inlineStr">
        <is>
          <t>978-3-319-72790-5</t>
        </is>
      </c>
      <c r="P12" s="2" t="inlineStr">
        <is>
          <t>978-3-319-72789-9</t>
        </is>
      </c>
      <c r="Q12" s="2" t="inlineStr">
        <is>
          <t>10.1007/978-3-319-72790-5</t>
        </is>
      </c>
      <c r="R12" s="4" t="inlineStr">
        <is>
          <t>https://link.springer.com/book/10.1007/978-3-319-72790-5</t>
        </is>
      </c>
      <c r="S12" s="4" t="inlineStr">
        <is>
          <t>https://link.springer.com/content/pdf/10.1007/978-3-319-72790-5.pdf</t>
        </is>
      </c>
      <c r="T12" s="2" t="inlineStr">
        <is>
          <t>161k</t>
        </is>
      </c>
      <c r="U12" s="2" t="inlineStr">
        <is>
          <t>Molecular Medicine; Health Promotion and Disease Prevention; Endocrinology; Metabolic Diseases</t>
        </is>
      </c>
      <c r="V12" s="2" t="inlineStr">
        <is>
          <t>已上线</t>
        </is>
      </c>
    </row>
    <row r="13">
      <c r="A13" s="2" t="n">
        <v>12</v>
      </c>
      <c r="B13" s="2" t="inlineStr">
        <is>
          <t>运动训练·运动科学</t>
        </is>
      </c>
      <c r="C13" s="2" t="inlineStr">
        <is>
          <t>延伸</t>
        </is>
      </c>
      <c r="D13" s="2" t="inlineStr">
        <is>
          <t>Machine Learning in Sports</t>
        </is>
      </c>
      <c r="E13" s="2" t="inlineStr">
        <is>
          <t>Open Approach for Next Play Analytics</t>
        </is>
      </c>
      <c r="F13" s="2" t="inlineStr">
        <is>
          <t>体育中的机器学习：计算机视觉采集比赛数据、预测分析、战术/下一步动作评估与智能体建模。</t>
        </is>
      </c>
      <c r="G13" s="2" t="inlineStr">
        <is>
          <t>著：Keisuke Fujii</t>
        </is>
      </c>
      <c r="H13" s="2" t="inlineStr">
        <is>
          <t>SpringerBriefs in Computer Science</t>
        </is>
      </c>
      <c r="I13" s="2" t="inlineStr">
        <is>
          <t>Springer Singapore</t>
        </is>
      </c>
      <c r="J13" s="2" t="n">
        <v>2025</v>
      </c>
      <c r="K13" s="2" t="inlineStr">
        <is>
          <t>10 April 2025</t>
        </is>
      </c>
      <c r="L13" s="2" t="inlineStr">
        <is>
          <t>1</t>
        </is>
      </c>
      <c r="M13" s="2" t="inlineStr">
        <is>
          <t>XVIII, 127</t>
        </is>
      </c>
      <c r="N13" s="2" t="inlineStr">
        <is>
          <t>英文</t>
        </is>
      </c>
      <c r="O13" s="2" t="inlineStr">
        <is>
          <t>978-981-96-1445-5</t>
        </is>
      </c>
      <c r="P13" s="2" t="inlineStr">
        <is>
          <t>978-981-96-1444-8</t>
        </is>
      </c>
      <c r="Q13" s="2" t="inlineStr">
        <is>
          <t>10.1007/978-981-96-1445-5</t>
        </is>
      </c>
      <c r="R13" s="4" t="inlineStr">
        <is>
          <t>https://link.springer.com/book/10.1007/978-981-96-1445-5</t>
        </is>
      </c>
      <c r="S13" s="4" t="inlineStr">
        <is>
          <t>https://link.springer.com/content/pdf/10.1007/978-981-96-1445-5.pdf</t>
        </is>
      </c>
      <c r="T13" s="2" t="inlineStr">
        <is>
          <t>50k</t>
        </is>
      </c>
      <c r="U13" s="2" t="inlineStr">
        <is>
          <t>Artificial Intelligence; Cyber-physical systems, IoT; Sport Science</t>
        </is>
      </c>
      <c r="V13" s="2" t="inlineStr">
        <is>
          <t>已上线</t>
        </is>
      </c>
    </row>
    <row r="14">
      <c r="A14" s="2" t="n">
        <v>13</v>
      </c>
      <c r="B14" s="2" t="inlineStr">
        <is>
          <t>运动训练·运动科学</t>
        </is>
      </c>
      <c r="C14" s="2" t="inlineStr">
        <is>
          <t>延伸</t>
        </is>
      </c>
      <c r="D14" s="2" t="inlineStr">
        <is>
          <t>Potenziale von Bewegung, Spiel und Sport für ein gesundes Aufwachsen in Deutschland</t>
        </is>
      </c>
      <c r="E14" s="2" t="inlineStr">
        <is>
          <t>Ergebnisse aus dem Projekt 'Move for Health'</t>
        </is>
      </c>
      <c r="F14" s="2" t="inlineStr">
        <is>
          <t>（德文）运动、游戏与体育对儿童青少年健康成长的作用——“Move for Health”项目成果。</t>
        </is>
      </c>
      <c r="G14" s="2" t="inlineStr">
        <is>
          <t>编：Dennis Dreiskämper, Ulrike Burrmann, Miriam Kehne, Nils Neuber, Bettina Rulofs, Jessica Süßenbach, Gunda Voigts, Lena Henning</t>
        </is>
      </c>
      <c r="H14" s="2" t="inlineStr">
        <is>
          <t>Bildung und Sport</t>
        </is>
      </c>
      <c r="I14" s="2" t="inlineStr">
        <is>
          <t>Springer VS Wiesbaden</t>
        </is>
      </c>
      <c r="J14" s="2" t="n">
        <v>2025</v>
      </c>
      <c r="K14" s="2" t="inlineStr">
        <is>
          <t>08 April 2025</t>
        </is>
      </c>
      <c r="L14" s="2" t="inlineStr">
        <is>
          <t>1</t>
        </is>
      </c>
      <c r="M14" s="2" t="inlineStr">
        <is>
          <t>XIX, 249</t>
        </is>
      </c>
      <c r="N14" s="2" t="inlineStr">
        <is>
          <t>德文</t>
        </is>
      </c>
      <c r="O14" s="2" t="inlineStr">
        <is>
          <t>978-3-658-47017-3</t>
        </is>
      </c>
      <c r="P14" s="2" t="inlineStr">
        <is>
          <t>978-3-658-47016-6</t>
        </is>
      </c>
      <c r="Q14" s="2" t="inlineStr">
        <is>
          <t>10.1007/978-3-658-47017-3</t>
        </is>
      </c>
      <c r="R14" s="4" t="inlineStr">
        <is>
          <t>https://link.springer.com/book/10.1007/978-3-658-47017-3</t>
        </is>
      </c>
      <c r="S14" s="4" t="inlineStr">
        <is>
          <t>https://link.springer.com/content/pdf/10.1007/978-3-658-47017-3.pdf</t>
        </is>
      </c>
      <c r="T14" s="2" t="inlineStr">
        <is>
          <t>82k</t>
        </is>
      </c>
      <c r="U14" s="2" t="inlineStr">
        <is>
          <t>Education, general; Sport Science; Sport Education and Didactics</t>
        </is>
      </c>
      <c r="V14" s="2" t="inlineStr">
        <is>
          <t>已上线</t>
        </is>
      </c>
    </row>
    <row r="15">
      <c r="A15" s="2" t="n">
        <v>14</v>
      </c>
      <c r="B15" s="2" t="inlineStr">
        <is>
          <t>康复医学·物理治疗</t>
        </is>
      </c>
      <c r="C15" s="3" t="inlineStr">
        <is>
          <t>核心</t>
        </is>
      </c>
      <c r="D15" s="2" t="inlineStr">
        <is>
          <t>Paediatric Neurorehabilitation</t>
        </is>
      </c>
      <c r="E15" s="2" t="inlineStr"/>
      <c r="F15" s="2" t="inlineStr">
        <is>
          <t>儿童神经康复：发育基础、运动/认知/语言/吞咽康复、脑瘫及社区康复与低资源地区实践（WFNR）。</t>
        </is>
      </c>
      <c r="G15" s="2" t="inlineStr">
        <is>
          <t>编：Tracey Mole, Andrea Martinuzzi</t>
        </is>
      </c>
      <c r="H15" s="2" t="inlineStr"/>
      <c r="I15" s="2" t="inlineStr">
        <is>
          <t>Springer Cham</t>
        </is>
      </c>
      <c r="J15" s="2" t="n">
        <v>2026</v>
      </c>
      <c r="K15" s="2" t="inlineStr">
        <is>
          <t>17 June 2026</t>
        </is>
      </c>
      <c r="L15" s="2" t="inlineStr">
        <is>
          <t>1</t>
        </is>
      </c>
      <c r="M15" s="2" t="inlineStr">
        <is>
          <t>VI, 352</t>
        </is>
      </c>
      <c r="N15" s="2" t="inlineStr">
        <is>
          <t>英文</t>
        </is>
      </c>
      <c r="O15" s="2" t="inlineStr">
        <is>
          <t>978-3-032-26192-2</t>
        </is>
      </c>
      <c r="P15" s="2" t="inlineStr">
        <is>
          <t>978-3-032-26191-5</t>
        </is>
      </c>
      <c r="Q15" s="2" t="inlineStr">
        <is>
          <t>10.1007/978-3-032-26192-2</t>
        </is>
      </c>
      <c r="R15" s="4" t="inlineStr">
        <is>
          <t>https://link.springer.com/book/10.1007/978-3-032-26192-2</t>
        </is>
      </c>
      <c r="S15" s="4" t="inlineStr">
        <is>
          <t>https://link.springer.com/content/pdf/10.1007/978-3-032-26192-2.pdf</t>
        </is>
      </c>
      <c r="T15" s="2" t="inlineStr">
        <is>
          <t>74k</t>
        </is>
      </c>
      <c r="U15" s="2" t="inlineStr">
        <is>
          <t>Neurology; Pediatrics</t>
        </is>
      </c>
      <c r="V15" s="2" t="inlineStr">
        <is>
          <t>已上线</t>
        </is>
      </c>
    </row>
    <row r="16">
      <c r="A16" s="2" t="n">
        <v>15</v>
      </c>
      <c r="B16" s="2" t="inlineStr">
        <is>
          <t>康复医学·物理治疗</t>
        </is>
      </c>
      <c r="C16" s="3" t="inlineStr">
        <is>
          <t>核心</t>
        </is>
      </c>
      <c r="D16" s="2" t="inlineStr">
        <is>
          <t>Kommunikation und Beziehungsgestaltung in der Physiotherapie</t>
        </is>
      </c>
      <c r="E16" s="2" t="inlineStr">
        <is>
          <t>Das Beziehungsdreieck Patient:in - Therapeut:in - Angehörige</t>
        </is>
      </c>
      <c r="F16" s="2" t="inlineStr">
        <is>
          <t>（德文）物理治疗中的沟通与关系构建：患者—治疗师—家属三角关系，含案例。</t>
        </is>
      </c>
      <c r="G16" s="2" t="inlineStr">
        <is>
          <t>著：Alexa von Bosse</t>
        </is>
      </c>
      <c r="H16" s="2" t="inlineStr">
        <is>
          <t>essentials</t>
        </is>
      </c>
      <c r="I16" s="2" t="inlineStr">
        <is>
          <t>Springer Berlin, Heidelberg</t>
        </is>
      </c>
      <c r="J16" s="2" t="n">
        <v>2026</v>
      </c>
      <c r="K16" s="2" t="inlineStr">
        <is>
          <t>18 March 2026</t>
        </is>
      </c>
      <c r="L16" s="2" t="inlineStr">
        <is>
          <t>1</t>
        </is>
      </c>
      <c r="M16" s="2" t="inlineStr">
        <is>
          <t>IX, 68</t>
        </is>
      </c>
      <c r="N16" s="2" t="inlineStr">
        <is>
          <t>德文</t>
        </is>
      </c>
      <c r="O16" s="2" t="inlineStr">
        <is>
          <t>978-3-662-72935-9</t>
        </is>
      </c>
      <c r="P16" s="2" t="inlineStr">
        <is>
          <t>978-3-662-72934-2</t>
        </is>
      </c>
      <c r="Q16" s="2" t="inlineStr">
        <is>
          <t>10.1007/978-3-662-72935-9</t>
        </is>
      </c>
      <c r="R16" s="4" t="inlineStr">
        <is>
          <t>https://link.springer.com/book/10.1007/978-3-662-72935-9</t>
        </is>
      </c>
      <c r="S16" s="4" t="inlineStr">
        <is>
          <t>https://link.springer.com/content/pdf/10.1007/978-3-662-72935-9.pdf</t>
        </is>
      </c>
      <c r="T16" s="2" t="inlineStr">
        <is>
          <t>12k</t>
        </is>
      </c>
      <c r="U16" s="2" t="inlineStr">
        <is>
          <t>Physiotherapy; Occupational Therapy</t>
        </is>
      </c>
      <c r="V16" s="2" t="inlineStr">
        <is>
          <t>已上线</t>
        </is>
      </c>
    </row>
    <row r="17">
      <c r="A17" s="2" t="n">
        <v>16</v>
      </c>
      <c r="B17" s="2" t="inlineStr">
        <is>
          <t>康复医学·物理治疗</t>
        </is>
      </c>
      <c r="C17" s="3" t="inlineStr">
        <is>
          <t>核心</t>
        </is>
      </c>
      <c r="D17" s="2" t="inlineStr">
        <is>
          <t>Heilmittel-Report 2026</t>
        </is>
      </c>
      <c r="E17" s="2" t="inlineStr">
        <is>
          <t>Qualität der Heilmittelversorgung</t>
        </is>
      </c>
      <c r="F17" s="2" t="inlineStr">
        <is>
          <t>（德文）2026 德国 Heilmittel 报告：物理治疗、作业治疗、言语治疗服务的质量测量与改进（22 篇专家文章）。</t>
        </is>
      </c>
      <c r="G17" s="2" t="inlineStr">
        <is>
          <t>编：Helmut Schröder, Christian Kopkow, Andrea Waltersbacher, Nadescha Bachayov, Jonas Schreyögg</t>
        </is>
      </c>
      <c r="H17" s="2" t="inlineStr"/>
      <c r="I17" s="2" t="inlineStr">
        <is>
          <t>Springer Berlin, Heidelberg</t>
        </is>
      </c>
      <c r="J17" s="2" t="n">
        <v>2026</v>
      </c>
      <c r="K17" s="2" t="inlineStr">
        <is>
          <t>27 May 2026</t>
        </is>
      </c>
      <c r="L17" s="2" t="inlineStr">
        <is>
          <t>1</t>
        </is>
      </c>
      <c r="M17" s="2" t="inlineStr">
        <is>
          <t>IX, 325</t>
        </is>
      </c>
      <c r="N17" s="2" t="inlineStr">
        <is>
          <t>德文</t>
        </is>
      </c>
      <c r="O17" s="2" t="inlineStr">
        <is>
          <t>978-3-662-73466-7</t>
        </is>
      </c>
      <c r="P17" s="2" t="inlineStr">
        <is>
          <t>978-3-662-73465-0</t>
        </is>
      </c>
      <c r="Q17" s="2" t="inlineStr">
        <is>
          <t>10.1007/978-3-662-73466-7</t>
        </is>
      </c>
      <c r="R17" s="4" t="inlineStr">
        <is>
          <t>https://link.springer.com/book/10.1007/978-3-662-73466-7</t>
        </is>
      </c>
      <c r="S17" s="4" t="inlineStr">
        <is>
          <t>https://link.springer.com/content/pdf/10.1007/978-3-662-73466-7.pdf</t>
        </is>
      </c>
      <c r="T17" s="2" t="inlineStr">
        <is>
          <t>39k</t>
        </is>
      </c>
      <c r="U17" s="2" t="inlineStr">
        <is>
          <t>Public Health; Health Economics; Physiotherapy; Occupational Therapy; Speech Pathology</t>
        </is>
      </c>
      <c r="V17" s="2" t="inlineStr">
        <is>
          <t>已上线</t>
        </is>
      </c>
    </row>
    <row r="18">
      <c r="A18" s="2" t="n">
        <v>17</v>
      </c>
      <c r="B18" s="2" t="inlineStr">
        <is>
          <t>康复医学·物理治疗</t>
        </is>
      </c>
      <c r="C18" s="3" t="inlineStr">
        <is>
          <t>核心</t>
        </is>
      </c>
      <c r="D18" s="2" t="inlineStr">
        <is>
          <t>Delivering Universal Health Care to People with Major Limb Loss or Damage in Low and Middle Income Countries</t>
        </is>
      </c>
      <c r="E18" s="2" t="inlineStr">
        <is>
          <t>A Complex Intervention in Uganda</t>
        </is>
      </c>
      <c r="F18" s="2" t="inlineStr">
        <is>
          <t>中低收入国家截肢/肢体严重损伤者的假肢与康复服务：乌干达复杂干预研究。</t>
        </is>
      </c>
      <c r="G18" s="2" t="inlineStr">
        <is>
          <t>著：Louise Ackers, Jonathan Huck, Laurence Kenney, Allan Ndawula, Jackson Murungi</t>
        </is>
      </c>
      <c r="H18" s="2" t="inlineStr"/>
      <c r="I18" s="2" t="inlineStr">
        <is>
          <t>Palgrave Macmillan Cham</t>
        </is>
      </c>
      <c r="J18" s="2" t="n">
        <v>2025</v>
      </c>
      <c r="K18" s="2" t="inlineStr">
        <is>
          <t>03 April 2025</t>
        </is>
      </c>
      <c r="L18" s="2" t="inlineStr">
        <is>
          <t>1</t>
        </is>
      </c>
      <c r="M18" s="2" t="inlineStr">
        <is>
          <t>XX, 229</t>
        </is>
      </c>
      <c r="N18" s="2" t="inlineStr">
        <is>
          <t>英文</t>
        </is>
      </c>
      <c r="O18" s="2" t="inlineStr">
        <is>
          <t>978-3-031-85423-1</t>
        </is>
      </c>
      <c r="P18" s="2" t="inlineStr">
        <is>
          <t>978-3-031-85422-4</t>
        </is>
      </c>
      <c r="Q18" s="2" t="inlineStr">
        <is>
          <t>10.1007/978-3-031-85423-1</t>
        </is>
      </c>
      <c r="R18" s="4" t="inlineStr">
        <is>
          <t>https://link.springer.com/book/10.1007/978-3-031-85423-1</t>
        </is>
      </c>
      <c r="S18" s="4" t="inlineStr">
        <is>
          <t>https://link.springer.com/content/pdf/10.1007/978-3-031-85423-1.pdf</t>
        </is>
      </c>
      <c r="T18" s="2" t="inlineStr">
        <is>
          <t>13k</t>
        </is>
      </c>
      <c r="U18" s="2" t="inlineStr">
        <is>
          <t>Development Studies; International Relations Theory</t>
        </is>
      </c>
      <c r="V18" s="2" t="inlineStr">
        <is>
          <t>已上线</t>
        </is>
      </c>
    </row>
    <row r="19">
      <c r="A19" s="2" t="n">
        <v>18</v>
      </c>
      <c r="B19" s="2" t="inlineStr">
        <is>
          <t>康复医学·物理治疗</t>
        </is>
      </c>
      <c r="C19" s="3" t="inlineStr">
        <is>
          <t>核心</t>
        </is>
      </c>
      <c r="D19" s="2" t="inlineStr">
        <is>
          <t>Clinical Pathways in Stroke Rehabilitation</t>
        </is>
      </c>
      <c r="E19" s="2" t="inlineStr">
        <is>
          <t>Evidence-based Clinical Practice Recommendations</t>
        </is>
      </c>
      <c r="F19" s="2" t="inlineStr">
        <is>
          <t>卒中康复临床路径：基于 RCT/系统综述的循证推荐，涵盖运动、认知、吞咽等功能障碍的评估、训练与技术辅助（WFNR）。</t>
        </is>
      </c>
      <c r="G19" s="2" t="inlineStr">
        <is>
          <t>编：Thomas Platz</t>
        </is>
      </c>
      <c r="H19" s="2" t="inlineStr"/>
      <c r="I19" s="2" t="inlineStr">
        <is>
          <t>Springer Cham</t>
        </is>
      </c>
      <c r="J19" s="2" t="n">
        <v>2021</v>
      </c>
      <c r="K19" s="2" t="inlineStr">
        <is>
          <t>14 January 2021</t>
        </is>
      </c>
      <c r="L19" s="2" t="inlineStr">
        <is>
          <t>1</t>
        </is>
      </c>
      <c r="M19" s="2" t="inlineStr">
        <is>
          <t>XII, 282</t>
        </is>
      </c>
      <c r="N19" s="2" t="inlineStr">
        <is>
          <t>英文</t>
        </is>
      </c>
      <c r="O19" s="2" t="inlineStr">
        <is>
          <t>978-3-030-58505-1</t>
        </is>
      </c>
      <c r="P19" s="2" t="inlineStr">
        <is>
          <t>978-3-030-58504-4</t>
        </is>
      </c>
      <c r="Q19" s="2" t="inlineStr">
        <is>
          <t>10.1007/978-3-030-58505-1</t>
        </is>
      </c>
      <c r="R19" s="4" t="inlineStr">
        <is>
          <t>https://link.springer.com/book/10.1007/978-3-030-58505-1</t>
        </is>
      </c>
      <c r="S19" s="4" t="inlineStr">
        <is>
          <t>https://link.springer.com/content/pdf/10.1007/978-3-030-58505-1.pdf</t>
        </is>
      </c>
      <c r="T19" s="2" t="inlineStr">
        <is>
          <t>372k</t>
        </is>
      </c>
      <c r="U19" s="2" t="inlineStr">
        <is>
          <t>Neurology; Physiotherapy; Neuropsychology; Nursing</t>
        </is>
      </c>
      <c r="V19" s="2" t="inlineStr">
        <is>
          <t>已上线</t>
        </is>
      </c>
    </row>
    <row r="20">
      <c r="A20" s="2" t="n">
        <v>19</v>
      </c>
      <c r="B20" s="2" t="inlineStr">
        <is>
          <t>康复医学·物理治疗</t>
        </is>
      </c>
      <c r="C20" s="2" t="inlineStr">
        <is>
          <t>延伸</t>
        </is>
      </c>
      <c r="D20" s="2" t="inlineStr">
        <is>
          <t>The Robotic Nimbus</t>
        </is>
      </c>
      <c r="E20" s="2" t="inlineStr">
        <is>
          <t>AI-Enabled Robots for Personalized Care and Human Empowerment</t>
        </is>
      </c>
      <c r="F20" s="2" t="inlineStr">
        <is>
          <t>AI 辅助机器人“Robotic Nimbus”：身体支撑、站立/行走辅助、上肢可穿戴辅助、康复与转移（即将上线）。</t>
        </is>
      </c>
      <c r="G20" s="2" t="inlineStr">
        <is>
          <t>编：Yasuhisa Hirata, Fumi Seto</t>
        </is>
      </c>
      <c r="H20" s="2" t="inlineStr"/>
      <c r="I20" s="2" t="inlineStr">
        <is>
          <t>Springer Singapore</t>
        </is>
      </c>
      <c r="J20" s="2" t="n">
        <v>2026</v>
      </c>
      <c r="K20" s="2" t="inlineStr">
        <is>
          <t>21 December 2026</t>
        </is>
      </c>
      <c r="L20" s="2" t="inlineStr">
        <is>
          <t>1</t>
        </is>
      </c>
      <c r="M20" s="2" t="inlineStr">
        <is>
          <t>XIX, 382</t>
        </is>
      </c>
      <c r="N20" s="2" t="inlineStr">
        <is>
          <t>英文</t>
        </is>
      </c>
      <c r="O20" s="2" t="inlineStr">
        <is>
          <t>978-981-92-6145-1</t>
        </is>
      </c>
      <c r="P20" s="2" t="inlineStr">
        <is>
          <t>978-981-92-6144-4</t>
        </is>
      </c>
      <c r="Q20" s="2" t="inlineStr">
        <is>
          <t>10.1007/978-981-92-6145-1</t>
        </is>
      </c>
      <c r="R20" s="4" t="inlineStr">
        <is>
          <t>https://link.springer.com/book/9789819261444</t>
        </is>
      </c>
      <c r="S20" s="2" t="inlineStr"/>
      <c r="T20" s="2" t="inlineStr"/>
      <c r="U20" s="2" t="inlineStr">
        <is>
          <t>Assistive Robotics; Robotics; AI</t>
        </is>
      </c>
      <c r="V20" s="5" t="inlineStr">
        <is>
          <t>即将上线</t>
        </is>
      </c>
    </row>
    <row r="21">
      <c r="A21" s="2" t="n">
        <v>20</v>
      </c>
      <c r="B21" s="2" t="inlineStr">
        <is>
          <t>康复医学·物理治疗</t>
        </is>
      </c>
      <c r="C21" s="2" t="inlineStr">
        <is>
          <t>延伸</t>
        </is>
      </c>
      <c r="D21" s="2" t="inlineStr">
        <is>
          <t>Geriatric Surgery</t>
        </is>
      </c>
      <c r="E21" s="2" t="inlineStr"/>
      <c r="F21" s="2" t="inlineStr">
        <is>
          <t>老年外科：衰弱评估、预康复（prehabilitation）、围术期与术后康复方案（即将上线）。</t>
        </is>
      </c>
      <c r="G21" s="2" t="inlineStr">
        <is>
          <t>编：Paolo Carcoforo, Fausto Catena</t>
        </is>
      </c>
      <c r="H21" s="2" t="inlineStr">
        <is>
          <t>Updates in Surgery</t>
        </is>
      </c>
      <c r="I21" s="2" t="inlineStr">
        <is>
          <t>Springer Cham</t>
        </is>
      </c>
      <c r="J21" s="2" t="n">
        <v>2026</v>
      </c>
      <c r="K21" s="2" t="inlineStr">
        <is>
          <t>待定</t>
        </is>
      </c>
      <c r="L21" s="2" t="inlineStr">
        <is>
          <t>1</t>
        </is>
      </c>
      <c r="M21" s="2" t="inlineStr">
        <is>
          <t>X, 206</t>
        </is>
      </c>
      <c r="N21" s="2" t="inlineStr">
        <is>
          <t>英文</t>
        </is>
      </c>
      <c r="O21" s="2" t="inlineStr">
        <is>
          <t>978-3-032-24281-5</t>
        </is>
      </c>
      <c r="P21" s="2" t="inlineStr">
        <is>
          <t>978-3-032-24280-8</t>
        </is>
      </c>
      <c r="Q21" s="2" t="inlineStr">
        <is>
          <t>10.1007/978-3-032-24281-5</t>
        </is>
      </c>
      <c r="R21" s="4" t="inlineStr">
        <is>
          <t>https://link.springer.com/book/9783032242815</t>
        </is>
      </c>
      <c r="S21" s="2" t="inlineStr"/>
      <c r="T21" s="2" t="inlineStr"/>
      <c r="U21" s="2" t="inlineStr">
        <is>
          <t>Surgery; Geriatrics</t>
        </is>
      </c>
      <c r="V21" s="5" t="inlineStr">
        <is>
          <t>即将上线</t>
        </is>
      </c>
    </row>
    <row r="22">
      <c r="A22" s="2" t="n">
        <v>21</v>
      </c>
      <c r="B22" s="2" t="inlineStr">
        <is>
          <t>康复医学·物理治疗</t>
        </is>
      </c>
      <c r="C22" s="2" t="inlineStr">
        <is>
          <t>延伸</t>
        </is>
      </c>
      <c r="D22" s="2" t="inlineStr">
        <is>
          <t>Evaluation of Vocational Rehabilitation Services</t>
        </is>
      </c>
      <c r="E22" s="2" t="inlineStr">
        <is>
          <t>Return on Investment (VR-ROI) Models and Results</t>
        </is>
      </c>
      <c r="F22" s="2" t="inlineStr">
        <is>
          <t>职业康复服务的投资回报（VR-ROI）评估：美国多州、四类残疾人群的就业结局。</t>
        </is>
      </c>
      <c r="G22" s="2" t="inlineStr">
        <is>
          <t>著：Christopher M. Clapp, John Pepper, Robert Schmidt, Steven Stern</t>
        </is>
      </c>
      <c r="H22" s="2" t="inlineStr">
        <is>
          <t>Diversity and Inclusion Research</t>
        </is>
      </c>
      <c r="I22" s="2" t="inlineStr">
        <is>
          <t>Springer Cham</t>
        </is>
      </c>
      <c r="J22" s="2" t="n">
        <v>2025</v>
      </c>
      <c r="K22" s="2" t="inlineStr">
        <is>
          <t>30 May 2025</t>
        </is>
      </c>
      <c r="L22" s="2" t="inlineStr">
        <is>
          <t>1</t>
        </is>
      </c>
      <c r="M22" s="2" t="inlineStr">
        <is>
          <t>XIII, 198</t>
        </is>
      </c>
      <c r="N22" s="2" t="inlineStr">
        <is>
          <t>英文</t>
        </is>
      </c>
      <c r="O22" s="2" t="inlineStr">
        <is>
          <t>978-3-031-86942-6</t>
        </is>
      </c>
      <c r="P22" s="2" t="inlineStr">
        <is>
          <t>978-3-031-86944-0</t>
        </is>
      </c>
      <c r="Q22" s="2" t="inlineStr">
        <is>
          <t>10.1007/978-3-031-86942-6</t>
        </is>
      </c>
      <c r="R22" s="4" t="inlineStr">
        <is>
          <t>https://link.springer.com/book/10.1007/978-3-031-86942-6</t>
        </is>
      </c>
      <c r="S22" s="4" t="inlineStr">
        <is>
          <t>https://link.springer.com/content/pdf/10.1007/978-3-031-86942-6.pdf</t>
        </is>
      </c>
      <c r="T22" s="2" t="inlineStr">
        <is>
          <t>7.2k</t>
        </is>
      </c>
      <c r="U22" s="2" t="inlineStr">
        <is>
          <t>Human Resource Management; Services</t>
        </is>
      </c>
      <c r="V22" s="2" t="inlineStr">
        <is>
          <t>已上线</t>
        </is>
      </c>
    </row>
    <row r="23">
      <c r="A23" s="2" t="n">
        <v>22</v>
      </c>
      <c r="B23" s="2" t="inlineStr">
        <is>
          <t>康复医学·物理治疗</t>
        </is>
      </c>
      <c r="C23" s="2" t="inlineStr">
        <is>
          <t>延伸</t>
        </is>
      </c>
      <c r="D23" s="2" t="inlineStr">
        <is>
          <t>A Practical Guide on Behaviour Change Support for Self-Managing Chronic Disease</t>
        </is>
      </c>
      <c r="E23" s="2" t="inlineStr"/>
      <c r="F23" s="2" t="inlineStr">
        <is>
          <t>慢病自我管理的行为改变支持实用指南：体力活动、用药、饮食等行为干预技术。</t>
        </is>
      </c>
      <c r="G23" s="2" t="inlineStr">
        <is>
          <t>编：Mara Pereira Guerreiro, Isa Brito Félix, Marta Moreira Marques</t>
        </is>
      </c>
      <c r="H23" s="2" t="inlineStr"/>
      <c r="I23" s="2" t="inlineStr">
        <is>
          <t>Springer Cham</t>
        </is>
      </c>
      <c r="J23" s="2" t="n">
        <v>2023</v>
      </c>
      <c r="K23" s="2" t="inlineStr">
        <is>
          <t>07 March 2023</t>
        </is>
      </c>
      <c r="L23" s="2" t="inlineStr">
        <is>
          <t>1</t>
        </is>
      </c>
      <c r="M23" s="2" t="inlineStr">
        <is>
          <t>XXVI, 122</t>
        </is>
      </c>
      <c r="N23" s="2" t="inlineStr">
        <is>
          <t>英文</t>
        </is>
      </c>
      <c r="O23" s="2" t="inlineStr">
        <is>
          <t>978-3-031-20010-6</t>
        </is>
      </c>
      <c r="P23" s="2" t="inlineStr">
        <is>
          <t>978-3-031-20009-0</t>
        </is>
      </c>
      <c r="Q23" s="2" t="inlineStr">
        <is>
          <t>10.1007/978-3-031-20010-6</t>
        </is>
      </c>
      <c r="R23" s="4" t="inlineStr">
        <is>
          <t>https://link.springer.com/book/10.1007/978-3-031-20010-6</t>
        </is>
      </c>
      <c r="S23" s="4" t="inlineStr">
        <is>
          <t>https://link.springer.com/content/pdf/10.1007/978-3-031-20010-6.pdf</t>
        </is>
      </c>
      <c r="T23" s="2" t="inlineStr">
        <is>
          <t>50k</t>
        </is>
      </c>
      <c r="U23" s="2" t="inlineStr">
        <is>
          <t>Medicine/Public Health, general; Psychology; Physiology</t>
        </is>
      </c>
      <c r="V23" s="2" t="inlineStr">
        <is>
          <t>已上线</t>
        </is>
      </c>
    </row>
    <row r="24">
      <c r="A24" s="2" t="n">
        <v>23</v>
      </c>
      <c r="B24" s="2" t="inlineStr">
        <is>
          <t>康复医学·物理治疗</t>
        </is>
      </c>
      <c r="C24" s="2" t="inlineStr">
        <is>
          <t>延伸</t>
        </is>
      </c>
      <c r="D24" s="2" t="inlineStr">
        <is>
          <t>Water-filtered Infrared A (wIRA) Irradiation</t>
        </is>
      </c>
      <c r="E24" s="2" t="inlineStr">
        <is>
          <t>From Research to Clinical Settings</t>
        </is>
      </c>
      <c r="F24" s="2" t="inlineStr">
        <is>
          <t>水滤红外线A（wIRA）照射：30 年基础与临床研究，含肌骨疾病、伤口愈合等物理因子治疗应用。</t>
        </is>
      </c>
      <c r="G24" s="2" t="inlineStr">
        <is>
          <t>编：Peter Vaupel</t>
        </is>
      </c>
      <c r="H24" s="2" t="inlineStr"/>
      <c r="I24" s="2" t="inlineStr">
        <is>
          <t>Springer Cham</t>
        </is>
      </c>
      <c r="J24" s="2" t="n">
        <v>2022</v>
      </c>
      <c r="K24" s="2" t="inlineStr">
        <is>
          <t>05 May 2022</t>
        </is>
      </c>
      <c r="L24" s="2" t="inlineStr">
        <is>
          <t>1</t>
        </is>
      </c>
      <c r="M24" s="2" t="inlineStr">
        <is>
          <t>XXV, 292</t>
        </is>
      </c>
      <c r="N24" s="2" t="inlineStr">
        <is>
          <t>英文</t>
        </is>
      </c>
      <c r="O24" s="2" t="inlineStr">
        <is>
          <t>978-3-030-92880-3</t>
        </is>
      </c>
      <c r="P24" s="2" t="inlineStr">
        <is>
          <t>978-3-030-92879-7</t>
        </is>
      </c>
      <c r="Q24" s="2" t="inlineStr">
        <is>
          <t>10.1007/978-3-030-92880-3</t>
        </is>
      </c>
      <c r="R24" s="4" t="inlineStr">
        <is>
          <t>https://link.springer.com/book/10.1007/978-3-030-92880-3</t>
        </is>
      </c>
      <c r="S24" s="4" t="inlineStr">
        <is>
          <t>https://link.springer.com/content/pdf/10.1007/978-3-030-92880-3.pdf</t>
        </is>
      </c>
      <c r="T24" s="2" t="inlineStr">
        <is>
          <t>136k</t>
        </is>
      </c>
      <c r="U24" s="2" t="inlineStr">
        <is>
          <t>Oncology; Surgery; Dermatology; Physiotherapy</t>
        </is>
      </c>
      <c r="V24" s="2" t="inlineStr">
        <is>
          <t>已上线</t>
        </is>
      </c>
    </row>
    <row r="25">
      <c r="A25" s="2" t="n">
        <v>24</v>
      </c>
      <c r="B25" s="2" t="inlineStr">
        <is>
          <t>肌骨影像</t>
        </is>
      </c>
      <c r="C25" s="3" t="inlineStr">
        <is>
          <t>核心</t>
        </is>
      </c>
      <c r="D25" s="2" t="inlineStr">
        <is>
          <t>Musculoskeletal Diseases 2026–2029</t>
        </is>
      </c>
      <c r="E25" s="2" t="inlineStr">
        <is>
          <t>Diagnostic Imaging</t>
        </is>
      </c>
      <c r="F25" s="2" t="inlineStr">
        <is>
          <t>IDKD 肌骨疾病影像 2026–2029：以疾病为纲，重点 MRI/CT，含 AI 进展。</t>
        </is>
      </c>
      <c r="G25" s="2" t="inlineStr">
        <is>
          <t>编：Juerg Hodler, Rahel A. Kubik-Huch, Justus E. Roos</t>
        </is>
      </c>
      <c r="H25" s="2" t="inlineStr">
        <is>
          <t>IDKD Springer Series</t>
        </is>
      </c>
      <c r="I25" s="2" t="inlineStr">
        <is>
          <t>Springer Cham</t>
        </is>
      </c>
      <c r="J25" s="2" t="n">
        <v>2026</v>
      </c>
      <c r="K25" s="2" t="inlineStr">
        <is>
          <t>26 February 2026</t>
        </is>
      </c>
      <c r="L25" s="2" t="inlineStr">
        <is>
          <t>1</t>
        </is>
      </c>
      <c r="M25" s="2" t="inlineStr">
        <is>
          <t>VIII, 236</t>
        </is>
      </c>
      <c r="N25" s="2" t="inlineStr">
        <is>
          <t>英文</t>
        </is>
      </c>
      <c r="O25" s="2" t="inlineStr">
        <is>
          <t>978-3-032-17040-8</t>
        </is>
      </c>
      <c r="P25" s="2" t="inlineStr">
        <is>
          <t>978-3-032-17039-2</t>
        </is>
      </c>
      <c r="Q25" s="2" t="inlineStr">
        <is>
          <t>10.1007/978-3-032-17040-8</t>
        </is>
      </c>
      <c r="R25" s="4" t="inlineStr">
        <is>
          <t>https://link.springer.com/book/10.1007/978-3-032-17040-8</t>
        </is>
      </c>
      <c r="S25" s="4" t="inlineStr">
        <is>
          <t>https://link.springer.com/content/pdf/10.1007/978-3-032-17040-8.pdf</t>
        </is>
      </c>
      <c r="T25" s="2" t="inlineStr">
        <is>
          <t>100k</t>
        </is>
      </c>
      <c r="U25" s="2" t="inlineStr">
        <is>
          <t>Imaging / Radiology; Orthopedics</t>
        </is>
      </c>
      <c r="V25" s="2" t="inlineStr">
        <is>
          <t>已上线</t>
        </is>
      </c>
    </row>
    <row r="26">
      <c r="A26" s="2" t="n">
        <v>25</v>
      </c>
      <c r="B26" s="2" t="inlineStr">
        <is>
          <t>肌骨影像</t>
        </is>
      </c>
      <c r="C26" s="3" t="inlineStr">
        <is>
          <t>核心</t>
        </is>
      </c>
      <c r="D26" s="2" t="inlineStr">
        <is>
          <t>Musculoskeletal Diseases 2021-2024</t>
        </is>
      </c>
      <c r="E26" s="2" t="inlineStr">
        <is>
          <t>Diagnostic Imaging</t>
        </is>
      </c>
      <c r="F26" s="2" t="inlineStr">
        <is>
          <t>IDKD 肌骨疾病影像 2021–2024（上一版），含儿科肌骨影像。</t>
        </is>
      </c>
      <c r="G26" s="2" t="inlineStr">
        <is>
          <t>编：Juerg Hodler, Rahel A. Kubik-Huch, Gustav K. von Schulthess</t>
        </is>
      </c>
      <c r="H26" s="2" t="inlineStr">
        <is>
          <t>IDKD Springer Series</t>
        </is>
      </c>
      <c r="I26" s="2" t="inlineStr">
        <is>
          <t>Springer Cham</t>
        </is>
      </c>
      <c r="J26" s="2" t="n">
        <v>2021</v>
      </c>
      <c r="K26" s="2" t="inlineStr">
        <is>
          <t>12 April 2021</t>
        </is>
      </c>
      <c r="L26" s="2" t="inlineStr">
        <is>
          <t>1</t>
        </is>
      </c>
      <c r="M26" s="2" t="inlineStr">
        <is>
          <t>VI, 292</t>
        </is>
      </c>
      <c r="N26" s="2" t="inlineStr">
        <is>
          <t>英文</t>
        </is>
      </c>
      <c r="O26" s="2" t="inlineStr">
        <is>
          <t>978-3-030-71281-5</t>
        </is>
      </c>
      <c r="P26" s="2" t="inlineStr">
        <is>
          <t>978-3-030-71280-8</t>
        </is>
      </c>
      <c r="Q26" s="2" t="inlineStr">
        <is>
          <t>10.1007/978-3-030-71281-5</t>
        </is>
      </c>
      <c r="R26" s="4" t="inlineStr">
        <is>
          <t>https://link.springer.com/book/10.1007/978-3-030-71281-5</t>
        </is>
      </c>
      <c r="S26" s="4" t="inlineStr">
        <is>
          <t>https://link.springer.com/content/pdf/10.1007/978-3-030-71281-5.pdf</t>
        </is>
      </c>
      <c r="T26" s="2" t="inlineStr">
        <is>
          <t>558k</t>
        </is>
      </c>
      <c r="U26" s="2" t="inlineStr">
        <is>
          <t>Imaging / Radiology; Orthopedics</t>
        </is>
      </c>
      <c r="V26" s="2" t="inlineStr">
        <is>
          <t>已上线</t>
        </is>
      </c>
    </row>
    <row r="27">
      <c r="A27" s="2" t="n">
        <v>26</v>
      </c>
      <c r="B27" s="2" t="inlineStr">
        <is>
          <t>肌骨影像</t>
        </is>
      </c>
      <c r="C27" s="2" t="inlineStr">
        <is>
          <t>延伸</t>
        </is>
      </c>
      <c r="D27" s="2" t="inlineStr">
        <is>
          <t>Diseases of the Brain, Head and Neck, Spine 2024-2027</t>
        </is>
      </c>
      <c r="E27" s="2" t="inlineStr">
        <is>
          <t>Diagnostic Imaging</t>
        </is>
      </c>
      <c r="F27" s="2" t="inlineStr">
        <is>
          <t>IDKD 脑、头颈与脊柱影像 2024–2027（脊柱部分与骨科相关）。</t>
        </is>
      </c>
      <c r="G27" s="2" t="inlineStr">
        <is>
          <t>编：Juerg Hodler, Rahel A. Kubik-Huch, Justus E. Roos</t>
        </is>
      </c>
      <c r="H27" s="2" t="inlineStr">
        <is>
          <t>IDKD Springer Series</t>
        </is>
      </c>
      <c r="I27" s="2" t="inlineStr">
        <is>
          <t>Springer Cham</t>
        </is>
      </c>
      <c r="J27" s="2" t="n">
        <v>2024</v>
      </c>
      <c r="K27" s="2" t="inlineStr">
        <is>
          <t>10 February 2024</t>
        </is>
      </c>
      <c r="L27" s="2" t="inlineStr">
        <is>
          <t>1</t>
        </is>
      </c>
      <c r="M27" s="2" t="inlineStr">
        <is>
          <t>VI, 318</t>
        </is>
      </c>
      <c r="N27" s="2" t="inlineStr">
        <is>
          <t>英文</t>
        </is>
      </c>
      <c r="O27" s="2" t="inlineStr">
        <is>
          <t>978-3-031-50675-8</t>
        </is>
      </c>
      <c r="P27" s="2" t="inlineStr">
        <is>
          <t>978-3-031-50674-1</t>
        </is>
      </c>
      <c r="Q27" s="2" t="inlineStr">
        <is>
          <t>10.1007/978-3-031-50675-8</t>
        </is>
      </c>
      <c r="R27" s="4" t="inlineStr">
        <is>
          <t>https://link.springer.com/book/10.1007/978-3-031-50675-8</t>
        </is>
      </c>
      <c r="S27" s="4" t="inlineStr">
        <is>
          <t>https://link.springer.com/content/pdf/10.1007/978-3-031-50675-8.pdf</t>
        </is>
      </c>
      <c r="T27" s="2" t="inlineStr">
        <is>
          <t>478k</t>
        </is>
      </c>
      <c r="U27" s="2" t="inlineStr">
        <is>
          <t>Imaging / Radiology; Neurology; Neurosurgery</t>
        </is>
      </c>
      <c r="V27" s="2" t="inlineStr">
        <is>
          <t>已上线</t>
        </is>
      </c>
    </row>
    <row r="28">
      <c r="A28" s="2" t="n">
        <v>27</v>
      </c>
      <c r="B28" s="2" t="inlineStr">
        <is>
          <t>肌骨影像</t>
        </is>
      </c>
      <c r="C28" s="2" t="inlineStr">
        <is>
          <t>延伸</t>
        </is>
      </c>
      <c r="D28" s="2" t="inlineStr">
        <is>
          <t>Diseases of the Brain, Head and Neck, Spine 2020–2023</t>
        </is>
      </c>
      <c r="E28" s="2" t="inlineStr">
        <is>
          <t>Diagnostic Imaging</t>
        </is>
      </c>
      <c r="F28" s="2" t="inlineStr">
        <is>
          <t>IDKD 脑、头颈与脊柱影像 2020–2023（上一版）。</t>
        </is>
      </c>
      <c r="G28" s="2" t="inlineStr">
        <is>
          <t>编：Juerg Hodler, Rahel A. Kubik-Huch, Gustav K. von Schulthess</t>
        </is>
      </c>
      <c r="H28" s="2" t="inlineStr">
        <is>
          <t>IDKD Springer Series</t>
        </is>
      </c>
      <c r="I28" s="2" t="inlineStr">
        <is>
          <t>Springer Cham</t>
        </is>
      </c>
      <c r="J28" s="2" t="n">
        <v>2020</v>
      </c>
      <c r="K28" s="2" t="inlineStr">
        <is>
          <t>14 February 2020</t>
        </is>
      </c>
      <c r="L28" s="2" t="inlineStr">
        <is>
          <t>1</t>
        </is>
      </c>
      <c r="M28" s="2" t="inlineStr">
        <is>
          <t>VIII, 254</t>
        </is>
      </c>
      <c r="N28" s="2" t="inlineStr">
        <is>
          <t>英文</t>
        </is>
      </c>
      <c r="O28" s="2" t="inlineStr">
        <is>
          <t>978-3-030-38490-6</t>
        </is>
      </c>
      <c r="P28" s="2" t="inlineStr">
        <is>
          <t>978-3-030-38489-0</t>
        </is>
      </c>
      <c r="Q28" s="2" t="inlineStr">
        <is>
          <t>10.1007/978-3-030-38490-6</t>
        </is>
      </c>
      <c r="R28" s="4" t="inlineStr">
        <is>
          <t>https://link.springer.com/book/10.1007/978-3-030-38490-6</t>
        </is>
      </c>
      <c r="S28" s="4" t="inlineStr">
        <is>
          <t>https://link.springer.com/content/pdf/10.1007/978-3-030-38490-6.pdf</t>
        </is>
      </c>
      <c r="T28" s="2" t="inlineStr">
        <is>
          <t>765k</t>
        </is>
      </c>
      <c r="U28" s="2" t="inlineStr">
        <is>
          <t>Imaging / Radiology; Neurology; Neurosurgery</t>
        </is>
      </c>
      <c r="V28" s="2" t="inlineStr">
        <is>
          <t>已上线</t>
        </is>
      </c>
    </row>
    <row r="29">
      <c r="A29" s="2" t="n">
        <v>28</v>
      </c>
      <c r="B29" s="2" t="inlineStr">
        <is>
          <t>风湿·软骨·肌骨基础</t>
        </is>
      </c>
      <c r="C29" s="2" t="inlineStr">
        <is>
          <t>延伸</t>
        </is>
      </c>
      <c r="D29" s="2" t="inlineStr">
        <is>
          <t>Rheumatic Diseases in the Arab World</t>
        </is>
      </c>
      <c r="E29" s="2" t="inlineStr"/>
      <c r="F29" s="2" t="inlineStr">
        <is>
          <t>阿拉伯世界风湿病大全（22 国）。</t>
        </is>
      </c>
      <c r="G29" s="2" t="inlineStr">
        <is>
          <t>编：Khalid A. Alnaqbi, Ghaydaa Aldabie</t>
        </is>
      </c>
      <c r="H29" s="2" t="inlineStr"/>
      <c r="I29" s="2" t="inlineStr">
        <is>
          <t>Springer Singapore</t>
        </is>
      </c>
      <c r="J29" s="2" t="n">
        <v>2026</v>
      </c>
      <c r="K29" s="2" t="inlineStr">
        <is>
          <t>11 July 2026</t>
        </is>
      </c>
      <c r="L29" s="2" t="inlineStr">
        <is>
          <t>1</t>
        </is>
      </c>
      <c r="M29" s="2" t="inlineStr">
        <is>
          <t>XXVII, 635</t>
        </is>
      </c>
      <c r="N29" s="2" t="inlineStr">
        <is>
          <t>英文</t>
        </is>
      </c>
      <c r="O29" s="2" t="inlineStr">
        <is>
          <t>978-981-92-0967-5</t>
        </is>
      </c>
      <c r="P29" s="2" t="inlineStr">
        <is>
          <t>978-981-92-0966-8</t>
        </is>
      </c>
      <c r="Q29" s="2" t="inlineStr">
        <is>
          <t>10.1007/978-981-92-0967-5</t>
        </is>
      </c>
      <c r="R29" s="4" t="inlineStr">
        <is>
          <t>https://link.springer.com/book/10.1007/978-981-92-0967-5</t>
        </is>
      </c>
      <c r="S29" s="4" t="inlineStr">
        <is>
          <t>https://link.springer.com/content/pdf/10.1007/978-981-92-0967-5.pdf</t>
        </is>
      </c>
      <c r="T29" s="2" t="inlineStr">
        <is>
          <t>50k</t>
        </is>
      </c>
      <c r="U29" s="2" t="inlineStr">
        <is>
          <t>Rheumatology; Internal Medicine; Immunology</t>
        </is>
      </c>
      <c r="V29" s="2" t="inlineStr">
        <is>
          <t>已上线</t>
        </is>
      </c>
    </row>
    <row r="30">
      <c r="A30" s="2" t="n">
        <v>29</v>
      </c>
      <c r="B30" s="2" t="inlineStr">
        <is>
          <t>风湿·软骨·肌骨基础</t>
        </is>
      </c>
      <c r="C30" s="2" t="inlineStr">
        <is>
          <t>延伸</t>
        </is>
      </c>
      <c r="D30" s="2" t="inlineStr">
        <is>
          <t>Electromechanobiology of Cartilage and Osteoarthritis</t>
        </is>
      </c>
      <c r="E30" s="2" t="inlineStr">
        <is>
          <t>A Tribute to Alan Grodzinsky on his 75th Birthday</t>
        </is>
      </c>
      <c r="F30" s="2" t="inlineStr">
        <is>
          <t>软骨电-力学生物学与骨关节炎：组织力学、机械生物学及 OA 发病与治疗进展。</t>
        </is>
      </c>
      <c r="G30" s="2" t="inlineStr">
        <is>
          <t>编：Brianne K. Connizzo, Lin Han, Robert L. Sah</t>
        </is>
      </c>
      <c r="H30" s="2" t="inlineStr">
        <is>
          <t>Advances in Experimental Medicine and Biology</t>
        </is>
      </c>
      <c r="I30" s="2" t="inlineStr">
        <is>
          <t>Springer Cham</t>
        </is>
      </c>
      <c r="J30" s="2" t="n">
        <v>2023</v>
      </c>
      <c r="K30" s="2" t="inlineStr">
        <is>
          <t>13 April 2023</t>
        </is>
      </c>
      <c r="L30" s="2" t="inlineStr">
        <is>
          <t>1</t>
        </is>
      </c>
      <c r="M30" s="2" t="inlineStr">
        <is>
          <t>XIV, 173</t>
        </is>
      </c>
      <c r="N30" s="2" t="inlineStr">
        <is>
          <t>英文</t>
        </is>
      </c>
      <c r="O30" s="2" t="inlineStr">
        <is>
          <t>978-3-031-25588-5</t>
        </is>
      </c>
      <c r="P30" s="2" t="inlineStr">
        <is>
          <t>978-3-031-25590-8</t>
        </is>
      </c>
      <c r="Q30" s="2" t="inlineStr">
        <is>
          <t>10.1007/978-3-031-25588-5</t>
        </is>
      </c>
      <c r="R30" s="4" t="inlineStr">
        <is>
          <t>https://link.springer.com/book/10.1007/978-3-031-25588-5</t>
        </is>
      </c>
      <c r="S30" s="4" t="inlineStr">
        <is>
          <t>https://link.springer.com/content/pdf/10.1007/978-3-031-25588-5.pdf</t>
        </is>
      </c>
      <c r="T30" s="2" t="inlineStr">
        <is>
          <t>50k</t>
        </is>
      </c>
      <c r="U30" s="2" t="inlineStr">
        <is>
          <t>Biomechanics; Biomedical Engineering and Bioengineering</t>
        </is>
      </c>
      <c r="V30" s="2" t="inlineStr">
        <is>
          <t>已上线</t>
        </is>
      </c>
    </row>
    <row r="31">
      <c r="A31" s="2" t="n">
        <v>30</v>
      </c>
      <c r="B31" s="2" t="inlineStr">
        <is>
          <t>风湿·软骨·肌骨基础</t>
        </is>
      </c>
      <c r="C31" s="2" t="inlineStr">
        <is>
          <t>延伸</t>
        </is>
      </c>
      <c r="D31" s="2" t="inlineStr">
        <is>
          <t>Axial Spondyloarthritis: Patient-Reported Impact in Europe</t>
        </is>
      </c>
      <c r="E31" s="2" t="inlineStr"/>
      <c r="F31" s="2" t="inlineStr">
        <is>
          <t>中轴型脊柱关节炎对欧洲患者的影响（IMAS 调查，2000+ 患者）。</t>
        </is>
      </c>
      <c r="G31" s="2" t="inlineStr">
        <is>
          <t>著：Marco Garrido-Cumbrera, Victoria Navarro-Compán, Christine Bundy, Raj Mahapatra, Souzi Makri, Carlos J. Delgado-Domínguez, Pedro Plazuelo-Ramos, Denis Poddubnyy</t>
        </is>
      </c>
      <c r="H31" s="2" t="inlineStr"/>
      <c r="I31" s="2" t="inlineStr">
        <is>
          <t>Springer Cham</t>
        </is>
      </c>
      <c r="J31" s="2" t="n">
        <v>2022</v>
      </c>
      <c r="K31" s="2" t="inlineStr">
        <is>
          <t>31 August 2022</t>
        </is>
      </c>
      <c r="L31" s="2" t="inlineStr">
        <is>
          <t>1</t>
        </is>
      </c>
      <c r="M31" s="2" t="inlineStr">
        <is>
          <t>XXI, 109</t>
        </is>
      </c>
      <c r="N31" s="2" t="inlineStr">
        <is>
          <t>英文</t>
        </is>
      </c>
      <c r="O31" s="2" t="inlineStr">
        <is>
          <t>978-3-030-97606-4</t>
        </is>
      </c>
      <c r="P31" s="2" t="inlineStr">
        <is>
          <t>978-3-030-97605-7</t>
        </is>
      </c>
      <c r="Q31" s="2" t="inlineStr">
        <is>
          <t>10.1007/978-3-030-97606-4</t>
        </is>
      </c>
      <c r="R31" s="4" t="inlineStr">
        <is>
          <t>https://link.springer.com/book/10.1007/978-3-030-97606-4</t>
        </is>
      </c>
      <c r="S31" s="4" t="inlineStr">
        <is>
          <t>https://link.springer.com/content/pdf/10.1007/978-3-030-97606-4.pdf</t>
        </is>
      </c>
      <c r="T31" s="2" t="inlineStr">
        <is>
          <t>28k</t>
        </is>
      </c>
      <c r="U31" s="2" t="inlineStr">
        <is>
          <t>Rheumatology</t>
        </is>
      </c>
      <c r="V31" s="2" t="inlineStr">
        <is>
          <t>已上线</t>
        </is>
      </c>
    </row>
    <row r="32">
      <c r="A32" s="2" t="n">
        <v>31</v>
      </c>
      <c r="B32" s="2" t="inlineStr">
        <is>
          <t>风湿·软骨·肌骨基础</t>
        </is>
      </c>
      <c r="C32" s="2" t="inlineStr">
        <is>
          <t>延伸</t>
        </is>
      </c>
      <c r="D32" s="2" t="inlineStr">
        <is>
          <t>Skills in Rheumatology</t>
        </is>
      </c>
      <c r="E32" s="2" t="inlineStr"/>
      <c r="F32" s="2" t="inlineStr">
        <is>
          <t>风湿病临床技能：强调详细的肌肉骨骼查体与常见风湿病处理。</t>
        </is>
      </c>
      <c r="G32" s="2" t="inlineStr">
        <is>
          <t>编：Hani Almoallim, Mohamed Cheikh</t>
        </is>
      </c>
      <c r="H32" s="2" t="inlineStr"/>
      <c r="I32" s="2" t="inlineStr">
        <is>
          <t>Springer Singapore</t>
        </is>
      </c>
      <c r="J32" s="2" t="n">
        <v>2021</v>
      </c>
      <c r="K32" s="2" t="inlineStr">
        <is>
          <t>05 January 2021</t>
        </is>
      </c>
      <c r="L32" s="2" t="inlineStr">
        <is>
          <t>1</t>
        </is>
      </c>
      <c r="M32" s="2" t="inlineStr">
        <is>
          <t>XIII, 566</t>
        </is>
      </c>
      <c r="N32" s="2" t="inlineStr">
        <is>
          <t>英文</t>
        </is>
      </c>
      <c r="O32" s="2" t="inlineStr">
        <is>
          <t>978-981-15-8323-0</t>
        </is>
      </c>
      <c r="P32" s="2" t="inlineStr">
        <is>
          <t>978-981-15-8322-3</t>
        </is>
      </c>
      <c r="Q32" s="2" t="inlineStr">
        <is>
          <t>10.1007/978-981-15-8323-0</t>
        </is>
      </c>
      <c r="R32" s="4" t="inlineStr">
        <is>
          <t>https://link.springer.com/book/10.1007/978-981-15-8323-0</t>
        </is>
      </c>
      <c r="S32" s="4" t="inlineStr">
        <is>
          <t>https://link.springer.com/content/pdf/10.1007/978-981-15-8323-0.pdf</t>
        </is>
      </c>
      <c r="T32" s="2" t="inlineStr">
        <is>
          <t>737k</t>
        </is>
      </c>
      <c r="U32" s="2" t="inlineStr">
        <is>
          <t>Rheumatology</t>
        </is>
      </c>
      <c r="V32" s="2" t="inlineStr">
        <is>
          <t>已上线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  <hyperlink xmlns:r="http://schemas.openxmlformats.org/officeDocument/2006/relationships" ref="R5" r:id="rId7"/>
    <hyperlink xmlns:r="http://schemas.openxmlformats.org/officeDocument/2006/relationships" ref="S5" r:id="rId8"/>
    <hyperlink xmlns:r="http://schemas.openxmlformats.org/officeDocument/2006/relationships" ref="R6" r:id="rId9"/>
    <hyperlink xmlns:r="http://schemas.openxmlformats.org/officeDocument/2006/relationships" ref="S6" r:id="rId10"/>
    <hyperlink xmlns:r="http://schemas.openxmlformats.org/officeDocument/2006/relationships" ref="R7" r:id="rId11"/>
    <hyperlink xmlns:r="http://schemas.openxmlformats.org/officeDocument/2006/relationships" ref="S7" r:id="rId12"/>
    <hyperlink xmlns:r="http://schemas.openxmlformats.org/officeDocument/2006/relationships" ref="R8" r:id="rId13"/>
    <hyperlink xmlns:r="http://schemas.openxmlformats.org/officeDocument/2006/relationships" ref="S8" r:id="rId14"/>
    <hyperlink xmlns:r="http://schemas.openxmlformats.org/officeDocument/2006/relationships" ref="R9" r:id="rId15"/>
    <hyperlink xmlns:r="http://schemas.openxmlformats.org/officeDocument/2006/relationships" ref="S9" r:id="rId16"/>
    <hyperlink xmlns:r="http://schemas.openxmlformats.org/officeDocument/2006/relationships" ref="R10" r:id="rId17"/>
    <hyperlink xmlns:r="http://schemas.openxmlformats.org/officeDocument/2006/relationships" ref="S10" r:id="rId18"/>
    <hyperlink xmlns:r="http://schemas.openxmlformats.org/officeDocument/2006/relationships" ref="R11" r:id="rId19"/>
    <hyperlink xmlns:r="http://schemas.openxmlformats.org/officeDocument/2006/relationships" ref="S11" r:id="rId20"/>
    <hyperlink xmlns:r="http://schemas.openxmlformats.org/officeDocument/2006/relationships" ref="R12" r:id="rId21"/>
    <hyperlink xmlns:r="http://schemas.openxmlformats.org/officeDocument/2006/relationships" ref="S12" r:id="rId22"/>
    <hyperlink xmlns:r="http://schemas.openxmlformats.org/officeDocument/2006/relationships" ref="R13" r:id="rId23"/>
    <hyperlink xmlns:r="http://schemas.openxmlformats.org/officeDocument/2006/relationships" ref="S13" r:id="rId24"/>
    <hyperlink xmlns:r="http://schemas.openxmlformats.org/officeDocument/2006/relationships" ref="R14" r:id="rId25"/>
    <hyperlink xmlns:r="http://schemas.openxmlformats.org/officeDocument/2006/relationships" ref="S14" r:id="rId26"/>
    <hyperlink xmlns:r="http://schemas.openxmlformats.org/officeDocument/2006/relationships" ref="R15" r:id="rId27"/>
    <hyperlink xmlns:r="http://schemas.openxmlformats.org/officeDocument/2006/relationships" ref="S15" r:id="rId28"/>
    <hyperlink xmlns:r="http://schemas.openxmlformats.org/officeDocument/2006/relationships" ref="R16" r:id="rId29"/>
    <hyperlink xmlns:r="http://schemas.openxmlformats.org/officeDocument/2006/relationships" ref="S16" r:id="rId30"/>
    <hyperlink xmlns:r="http://schemas.openxmlformats.org/officeDocument/2006/relationships" ref="R17" r:id="rId31"/>
    <hyperlink xmlns:r="http://schemas.openxmlformats.org/officeDocument/2006/relationships" ref="S17" r:id="rId32"/>
    <hyperlink xmlns:r="http://schemas.openxmlformats.org/officeDocument/2006/relationships" ref="R18" r:id="rId33"/>
    <hyperlink xmlns:r="http://schemas.openxmlformats.org/officeDocument/2006/relationships" ref="S18" r:id="rId34"/>
    <hyperlink xmlns:r="http://schemas.openxmlformats.org/officeDocument/2006/relationships" ref="R19" r:id="rId35"/>
    <hyperlink xmlns:r="http://schemas.openxmlformats.org/officeDocument/2006/relationships" ref="S19" r:id="rId36"/>
    <hyperlink xmlns:r="http://schemas.openxmlformats.org/officeDocument/2006/relationships" ref="R20" r:id="rId37"/>
    <hyperlink xmlns:r="http://schemas.openxmlformats.org/officeDocument/2006/relationships" ref="R21" r:id="rId38"/>
    <hyperlink xmlns:r="http://schemas.openxmlformats.org/officeDocument/2006/relationships" ref="R22" r:id="rId39"/>
    <hyperlink xmlns:r="http://schemas.openxmlformats.org/officeDocument/2006/relationships" ref="S22" r:id="rId40"/>
    <hyperlink xmlns:r="http://schemas.openxmlformats.org/officeDocument/2006/relationships" ref="R23" r:id="rId41"/>
    <hyperlink xmlns:r="http://schemas.openxmlformats.org/officeDocument/2006/relationships" ref="S23" r:id="rId42"/>
    <hyperlink xmlns:r="http://schemas.openxmlformats.org/officeDocument/2006/relationships" ref="R24" r:id="rId43"/>
    <hyperlink xmlns:r="http://schemas.openxmlformats.org/officeDocument/2006/relationships" ref="S24" r:id="rId44"/>
    <hyperlink xmlns:r="http://schemas.openxmlformats.org/officeDocument/2006/relationships" ref="R25" r:id="rId45"/>
    <hyperlink xmlns:r="http://schemas.openxmlformats.org/officeDocument/2006/relationships" ref="S25" r:id="rId46"/>
    <hyperlink xmlns:r="http://schemas.openxmlformats.org/officeDocument/2006/relationships" ref="R26" r:id="rId47"/>
    <hyperlink xmlns:r="http://schemas.openxmlformats.org/officeDocument/2006/relationships" ref="S26" r:id="rId48"/>
    <hyperlink xmlns:r="http://schemas.openxmlformats.org/officeDocument/2006/relationships" ref="R27" r:id="rId49"/>
    <hyperlink xmlns:r="http://schemas.openxmlformats.org/officeDocument/2006/relationships" ref="S27" r:id="rId50"/>
    <hyperlink xmlns:r="http://schemas.openxmlformats.org/officeDocument/2006/relationships" ref="R28" r:id="rId51"/>
    <hyperlink xmlns:r="http://schemas.openxmlformats.org/officeDocument/2006/relationships" ref="S28" r:id="rId52"/>
    <hyperlink xmlns:r="http://schemas.openxmlformats.org/officeDocument/2006/relationships" ref="R29" r:id="rId53"/>
    <hyperlink xmlns:r="http://schemas.openxmlformats.org/officeDocument/2006/relationships" ref="S29" r:id="rId54"/>
    <hyperlink xmlns:r="http://schemas.openxmlformats.org/officeDocument/2006/relationships" ref="R30" r:id="rId55"/>
    <hyperlink xmlns:r="http://schemas.openxmlformats.org/officeDocument/2006/relationships" ref="S30" r:id="rId56"/>
    <hyperlink xmlns:r="http://schemas.openxmlformats.org/officeDocument/2006/relationships" ref="R31" r:id="rId57"/>
    <hyperlink xmlns:r="http://schemas.openxmlformats.org/officeDocument/2006/relationships" ref="S31" r:id="rId58"/>
    <hyperlink xmlns:r="http://schemas.openxmlformats.org/officeDocument/2006/relationships" ref="R32" r:id="rId59"/>
    <hyperlink xmlns:r="http://schemas.openxmlformats.org/officeDocument/2006/relationships" ref="S32" r:id="rId60"/>
  </hyperlinks>
  <pageMargins left="0.75" right="0.75" top="1" bottom="1" header="0.5" footer="0.5"/>
  <tableParts count="1">
    <tablePart xmlns:r="http://schemas.openxmlformats.org/officeDocument/2006/relationships" r:id="rId6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6" t="inlineStr">
        <is>
          <t>按类别统计（公式引用“书目汇总”）</t>
        </is>
      </c>
    </row>
    <row r="3">
      <c r="A3" s="7" t="inlineStr">
        <is>
          <t>类别</t>
        </is>
      </c>
      <c r="B3" s="7" t="inlineStr">
        <is>
          <t>图书总数</t>
        </is>
      </c>
      <c r="C3" s="7" t="inlineStr">
        <is>
          <t>核心</t>
        </is>
      </c>
      <c r="D3" s="7" t="inlineStr">
        <is>
          <t>延伸</t>
        </is>
      </c>
      <c r="E3" s="7" t="inlineStr">
        <is>
          <t>英文</t>
        </is>
      </c>
      <c r="F3" s="7" t="inlineStr">
        <is>
          <t>德文</t>
        </is>
      </c>
      <c r="G3" s="7" t="inlineStr">
        <is>
          <t>最早版权年</t>
        </is>
      </c>
      <c r="H3" s="7" t="inlineStr">
        <is>
          <t>最新版权年</t>
        </is>
      </c>
    </row>
    <row r="4">
      <c r="A4" s="8" t="inlineStr">
        <is>
          <t>骨科·骨折·关节</t>
        </is>
      </c>
      <c r="B4" s="8">
        <f>COUNTIF('书目汇总'!$B$2:$B$32,A4)</f>
        <v/>
      </c>
      <c r="C4" s="8">
        <f>COUNTIFS('书目汇总'!$B$2:$B$32,A4,'书目汇总'!$C$2:$C$32,"核心")</f>
        <v/>
      </c>
      <c r="D4" s="8">
        <f>COUNTIFS('书目汇总'!$B$2:$B$32,A4,'书目汇总'!$C$2:$C$32,"延伸")</f>
        <v/>
      </c>
      <c r="E4" s="8">
        <f>COUNTIFS('书目汇总'!$B$2:$B$32,A4,'书目汇总'!$N$2:$N$32,"英文")</f>
        <v/>
      </c>
      <c r="F4" s="8">
        <f>COUNTIFS('书目汇总'!$B$2:$B$32,A4,'书目汇总'!$N$2:$N$32,"德文")</f>
        <v/>
      </c>
      <c r="G4" s="8">
        <f>_xlfn.MINIFS('书目汇总'!$J$2:$J$32,'书目汇总'!$B$2:$B$32,A4)</f>
        <v/>
      </c>
      <c r="H4" s="8">
        <f>_xlfn.MAXIFS('书目汇总'!$J$2:$J$32,'书目汇总'!$B$2:$B$32,A4)</f>
        <v/>
      </c>
    </row>
    <row r="5">
      <c r="A5" s="8" t="inlineStr">
        <is>
          <t>创伤医学</t>
        </is>
      </c>
      <c r="B5" s="8">
        <f>COUNTIF('书目汇总'!$B$2:$B$32,A5)</f>
        <v/>
      </c>
      <c r="C5" s="8">
        <f>COUNTIFS('书目汇总'!$B$2:$B$32,A5,'书目汇总'!$C$2:$C$32,"核心")</f>
        <v/>
      </c>
      <c r="D5" s="8">
        <f>COUNTIFS('书目汇总'!$B$2:$B$32,A5,'书目汇总'!$C$2:$C$32,"延伸")</f>
        <v/>
      </c>
      <c r="E5" s="8">
        <f>COUNTIFS('书目汇总'!$B$2:$B$32,A5,'书目汇总'!$N$2:$N$32,"英文")</f>
        <v/>
      </c>
      <c r="F5" s="8">
        <f>COUNTIFS('书目汇总'!$B$2:$B$32,A5,'书目汇总'!$N$2:$N$32,"德文")</f>
        <v/>
      </c>
      <c r="G5" s="8">
        <f>_xlfn.MINIFS('书目汇总'!$J$2:$J$32,'书目汇总'!$B$2:$B$32,A5)</f>
        <v/>
      </c>
      <c r="H5" s="8">
        <f>_xlfn.MAXIFS('书目汇总'!$J$2:$J$32,'书目汇总'!$B$2:$B$32,A5)</f>
        <v/>
      </c>
    </row>
    <row r="6">
      <c r="A6" s="8" t="inlineStr">
        <is>
          <t>运动医学·运动损伤</t>
        </is>
      </c>
      <c r="B6" s="8">
        <f>COUNTIF('书目汇总'!$B$2:$B$32,A6)</f>
        <v/>
      </c>
      <c r="C6" s="8">
        <f>COUNTIFS('书目汇总'!$B$2:$B$32,A6,'书目汇总'!$C$2:$C$32,"核心")</f>
        <v/>
      </c>
      <c r="D6" s="8">
        <f>COUNTIFS('书目汇总'!$B$2:$B$32,A6,'书目汇总'!$C$2:$C$32,"延伸")</f>
        <v/>
      </c>
      <c r="E6" s="8">
        <f>COUNTIFS('书目汇总'!$B$2:$B$32,A6,'书目汇总'!$N$2:$N$32,"英文")</f>
        <v/>
      </c>
      <c r="F6" s="8">
        <f>COUNTIFS('书目汇总'!$B$2:$B$32,A6,'书目汇总'!$N$2:$N$32,"德文")</f>
        <v/>
      </c>
      <c r="G6" s="8">
        <f>_xlfn.MINIFS('书目汇总'!$J$2:$J$32,'书目汇总'!$B$2:$B$32,A6)</f>
        <v/>
      </c>
      <c r="H6" s="8">
        <f>_xlfn.MAXIFS('书目汇总'!$J$2:$J$32,'书目汇总'!$B$2:$B$32,A6)</f>
        <v/>
      </c>
    </row>
    <row r="7">
      <c r="A7" s="8" t="inlineStr">
        <is>
          <t>运动医学·运动科学</t>
        </is>
      </c>
      <c r="B7" s="8">
        <f>COUNTIF('书目汇总'!$B$2:$B$32,A7)</f>
        <v/>
      </c>
      <c r="C7" s="8">
        <f>COUNTIFS('书目汇总'!$B$2:$B$32,A7,'书目汇总'!$C$2:$C$32,"核心")</f>
        <v/>
      </c>
      <c r="D7" s="8">
        <f>COUNTIFS('书目汇总'!$B$2:$B$32,A7,'书目汇总'!$C$2:$C$32,"延伸")</f>
        <v/>
      </c>
      <c r="E7" s="8">
        <f>COUNTIFS('书目汇总'!$B$2:$B$32,A7,'书目汇总'!$N$2:$N$32,"英文")</f>
        <v/>
      </c>
      <c r="F7" s="8">
        <f>COUNTIFS('书目汇总'!$B$2:$B$32,A7,'书目汇总'!$N$2:$N$32,"德文")</f>
        <v/>
      </c>
      <c r="G7" s="8">
        <f>_xlfn.MINIFS('书目汇总'!$J$2:$J$32,'书目汇总'!$B$2:$B$32,A7)</f>
        <v/>
      </c>
      <c r="H7" s="8">
        <f>_xlfn.MAXIFS('书目汇总'!$J$2:$J$32,'书目汇总'!$B$2:$B$32,A7)</f>
        <v/>
      </c>
    </row>
    <row r="8">
      <c r="A8" s="8" t="inlineStr">
        <is>
          <t>运动训练·运动科学</t>
        </is>
      </c>
      <c r="B8" s="8">
        <f>COUNTIF('书目汇总'!$B$2:$B$32,A8)</f>
        <v/>
      </c>
      <c r="C8" s="8">
        <f>COUNTIFS('书目汇总'!$B$2:$B$32,A8,'书目汇总'!$C$2:$C$32,"核心")</f>
        <v/>
      </c>
      <c r="D8" s="8">
        <f>COUNTIFS('书目汇总'!$B$2:$B$32,A8,'书目汇总'!$C$2:$C$32,"延伸")</f>
        <v/>
      </c>
      <c r="E8" s="8">
        <f>COUNTIFS('书目汇总'!$B$2:$B$32,A8,'书目汇总'!$N$2:$N$32,"英文")</f>
        <v/>
      </c>
      <c r="F8" s="8">
        <f>COUNTIFS('书目汇总'!$B$2:$B$32,A8,'书目汇总'!$N$2:$N$32,"德文")</f>
        <v/>
      </c>
      <c r="G8" s="8">
        <f>_xlfn.MINIFS('书目汇总'!$J$2:$J$32,'书目汇总'!$B$2:$B$32,A8)</f>
        <v/>
      </c>
      <c r="H8" s="8">
        <f>_xlfn.MAXIFS('书目汇总'!$J$2:$J$32,'书目汇总'!$B$2:$B$32,A8)</f>
        <v/>
      </c>
    </row>
    <row r="9">
      <c r="A9" s="8" t="inlineStr">
        <is>
          <t>康复医学·物理治疗</t>
        </is>
      </c>
      <c r="B9" s="8">
        <f>COUNTIF('书目汇总'!$B$2:$B$32,A9)</f>
        <v/>
      </c>
      <c r="C9" s="8">
        <f>COUNTIFS('书目汇总'!$B$2:$B$32,A9,'书目汇总'!$C$2:$C$32,"核心")</f>
        <v/>
      </c>
      <c r="D9" s="8">
        <f>COUNTIFS('书目汇总'!$B$2:$B$32,A9,'书目汇总'!$C$2:$C$32,"延伸")</f>
        <v/>
      </c>
      <c r="E9" s="8">
        <f>COUNTIFS('书目汇总'!$B$2:$B$32,A9,'书目汇总'!$N$2:$N$32,"英文")</f>
        <v/>
      </c>
      <c r="F9" s="8">
        <f>COUNTIFS('书目汇总'!$B$2:$B$32,A9,'书目汇总'!$N$2:$N$32,"德文")</f>
        <v/>
      </c>
      <c r="G9" s="8">
        <f>_xlfn.MINIFS('书目汇总'!$J$2:$J$32,'书目汇总'!$B$2:$B$32,A9)</f>
        <v/>
      </c>
      <c r="H9" s="8">
        <f>_xlfn.MAXIFS('书目汇总'!$J$2:$J$32,'书目汇总'!$B$2:$B$32,A9)</f>
        <v/>
      </c>
    </row>
    <row r="10">
      <c r="A10" s="8" t="inlineStr">
        <is>
          <t>肌骨影像</t>
        </is>
      </c>
      <c r="B10" s="8">
        <f>COUNTIF('书目汇总'!$B$2:$B$32,A10)</f>
        <v/>
      </c>
      <c r="C10" s="8">
        <f>COUNTIFS('书目汇总'!$B$2:$B$32,A10,'书目汇总'!$C$2:$C$32,"核心")</f>
        <v/>
      </c>
      <c r="D10" s="8">
        <f>COUNTIFS('书目汇总'!$B$2:$B$32,A10,'书目汇总'!$C$2:$C$32,"延伸")</f>
        <v/>
      </c>
      <c r="E10" s="8">
        <f>COUNTIFS('书目汇总'!$B$2:$B$32,A10,'书目汇总'!$N$2:$N$32,"英文")</f>
        <v/>
      </c>
      <c r="F10" s="8">
        <f>COUNTIFS('书目汇总'!$B$2:$B$32,A10,'书目汇总'!$N$2:$N$32,"德文")</f>
        <v/>
      </c>
      <c r="G10" s="8">
        <f>_xlfn.MINIFS('书目汇总'!$J$2:$J$32,'书目汇总'!$B$2:$B$32,A10)</f>
        <v/>
      </c>
      <c r="H10" s="8">
        <f>_xlfn.MAXIFS('书目汇总'!$J$2:$J$32,'书目汇总'!$B$2:$B$32,A10)</f>
        <v/>
      </c>
    </row>
    <row r="11">
      <c r="A11" s="8" t="inlineStr">
        <is>
          <t>风湿·软骨·肌骨基础</t>
        </is>
      </c>
      <c r="B11" s="8">
        <f>COUNTIF('书目汇总'!$B$2:$B$32,A11)</f>
        <v/>
      </c>
      <c r="C11" s="8">
        <f>COUNTIFS('书目汇总'!$B$2:$B$32,A11,'书目汇总'!$C$2:$C$32,"核心")</f>
        <v/>
      </c>
      <c r="D11" s="8">
        <f>COUNTIFS('书目汇总'!$B$2:$B$32,A11,'书目汇总'!$C$2:$C$32,"延伸")</f>
        <v/>
      </c>
      <c r="E11" s="8">
        <f>COUNTIFS('书目汇总'!$B$2:$B$32,A11,'书目汇总'!$N$2:$N$32,"英文")</f>
        <v/>
      </c>
      <c r="F11" s="8">
        <f>COUNTIFS('书目汇总'!$B$2:$B$32,A11,'书目汇总'!$N$2:$N$32,"德文")</f>
        <v/>
      </c>
      <c r="G11" s="8">
        <f>_xlfn.MINIFS('书目汇总'!$J$2:$J$32,'书目汇总'!$B$2:$B$32,A11)</f>
        <v/>
      </c>
      <c r="H11" s="8">
        <f>_xlfn.MAXIFS('书目汇总'!$J$2:$J$32,'书目汇总'!$B$2:$B$32,A11)</f>
        <v/>
      </c>
    </row>
    <row r="12">
      <c r="A12" s="9" t="inlineStr">
        <is>
          <t>合计</t>
        </is>
      </c>
      <c r="B12" s="9">
        <f>SUM(B4:B11)</f>
        <v/>
      </c>
      <c r="C12" s="9">
        <f>SUM(C4:C11)</f>
        <v/>
      </c>
      <c r="D12" s="9">
        <f>SUM(D4:D11)</f>
        <v/>
      </c>
      <c r="E12" s="9">
        <f>SUM(E4:E11)</f>
        <v/>
      </c>
      <c r="F12" s="9">
        <f>SUM(F4:F11)</f>
        <v/>
      </c>
      <c r="G12" s="9">
        <f>MIN(G4:G11)</f>
        <v/>
      </c>
      <c r="H12" s="9">
        <f>MAX(H4:H11)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0" t="inlineStr">
        <is>
          <t>检索说明</t>
        </is>
      </c>
      <c r="B1" s="11" t="inlineStr"/>
    </row>
    <row r="2">
      <c r="A2" s="12" t="inlineStr">
        <is>
          <t>数据来源</t>
        </is>
      </c>
      <c r="B2" s="11" t="inlineStr">
        <is>
          <t>Springer Nature Link 官方检索（link.springer.com/search），筛选“内容类型=Book”+“出版模式=Open access”；详细书目信息取自各书官方页面“Bibliographic information”。</t>
        </is>
      </c>
    </row>
    <row r="3">
      <c r="A3" s="12" t="inlineStr">
        <is>
          <t>检索日期</t>
        </is>
      </c>
      <c r="B3" s="11" t="inlineStr">
        <is>
          <t>2026-09-23</t>
        </is>
      </c>
    </row>
    <row r="4">
      <c r="A4" s="12" t="inlineStr">
        <is>
          <t>检索策略</t>
        </is>
      </c>
      <c r="B4" s="11" t="inlineStr">
        <is>
          <t>① 学科分面：Medicine &amp; Public Health 下全部开放获取图书（共 214 本）逐条人工筛选；② 子学科分面：Orthopedics、Surgical Orthopedics、Sports Medicine、Physiotherapy、Sport Science、Rehabilitation、Traumatic Surgery；③ 跨学科关键词（中英德）：rehabilitation、physiotherapy、sport(s)、exercise、injury、fracture、trauma、musculoskeletal、orthopedic、prosthesis、exoskeleton、gait、spine、athlete、physical activity、osteoarthritis、arthroplasty、Bewegung、Sportmedizin、Orthopädie、Unfallchirurgie 等。</t>
        </is>
      </c>
    </row>
    <row r="5">
      <c r="A5" s="12" t="inlineStr">
        <is>
          <t>筛选结果</t>
        </is>
      </c>
      <c r="B5" s="11" t="inlineStr">
        <is>
          <t>共 31 本：核心 17 本（直接对应骨科/创伤/运动医学/康复/物理治疗）、延伸 14 本（肌骨影像、风湿、辅助机器人、运动数据分析等相关领域）。</t>
        </is>
      </c>
    </row>
    <row r="6">
      <c r="A6" s="12" t="inlineStr">
        <is>
          <t>相关度</t>
        </is>
      </c>
      <c r="B6" s="11" t="inlineStr">
        <is>
          <t>核心 = 主题直接属于骨科、创伤医学、运动医学、康复医学、物理治疗、运动训练；延伸 = 交叉或相关领域，可作补充阅读。</t>
        </is>
      </c>
    </row>
    <row r="7">
      <c r="A7" s="12" t="inlineStr">
        <is>
          <t>下载方式</t>
        </is>
      </c>
      <c r="B7" s="11" t="inlineStr">
        <is>
          <t>“PDF 全书下载”列为官方全书 PDF 链接（开放获取，免费）；部分书亦提供 EPUB。“即将上线”的 2 本目前页面已标注 Open Access，但全文尚未开放。</t>
        </is>
      </c>
    </row>
    <row r="8">
      <c r="A8" s="12" t="inlineStr">
        <is>
          <t>重要发现</t>
        </is>
      </c>
      <c r="B8" s="11" t="inlineStr">
        <is>
          <t>Springer 在这些领域的开放获取图书数量有限：Traumatic Surgery 与 Rehabilitation Medicine 子学科下开放获取图书为 0；许多常见骨科/运动医学书（如 ESSKA 系列、Senior Trauma Patients 等）为付费书，未收录。</t>
        </is>
      </c>
    </row>
    <row r="9">
      <c r="A9" s="12" t="inlineStr">
        <is>
          <t>字段说明</t>
        </is>
      </c>
      <c r="B9" s="11" t="inlineStr">
        <is>
          <t>版权年取自检索结果；在线出版日期取自书页 eBook 发布日期；访问量为抓取当日书页显示值，会持续变化。</t>
        </is>
      </c>
    </row>
    <row r="10">
      <c r="A10" s="12" t="inlineStr">
        <is>
          <t>局限</t>
        </is>
      </c>
      <c r="B10" s="11" t="inlineStr">
        <is>
          <t>Springer Link 的开放获取标记与学科标注由出版社维护，个别书可能漏标；本表仅收录 Springer Nature 旗下（Springer / Springer VS / Palgrave）图书，不含期刊文章与单独开放的章节。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2026-09-23T09:11:49Z</dcterms:created>
  <dcterms:modified xsi:type="dcterms:W3CDTF">2026-09-23T09:11:49Z</dcterms:modified>
</cp:coreProperties>
</file>